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do" sheetId="1" r:id="rId5"/>
  </sheets>
  <definedNames/>
  <calcPr/>
</workbook>
</file>

<file path=xl/sharedStrings.xml><?xml version="1.0" encoding="utf-8"?>
<sst xmlns="http://schemas.openxmlformats.org/spreadsheetml/2006/main" count="167" uniqueCount="95">
  <si>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</si>
  <si>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</si>
  <si>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</si>
  <si>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</si>
  <si>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</si>
  <si>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</si>
  <si>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</si>
  <si>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</si>
  <si>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</si>
  <si>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</si>
  <si>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</si>
  <si>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</si>
  <si>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</si>
  <si>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</si>
  <si>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gole samobójcze</t>
  </si>
  <si>
    <t>kanadyjka</t>
  </si>
  <si>
    <t>obronione karne</t>
  </si>
  <si>
    <r>
      <rPr>
        <rFont val="Arial"/>
        <color rgb="FFFFEC00"/>
      </rPr>
      <t xml:space="preserve">Julian </t>
    </r>
    <r>
      <rPr>
        <rFont val="Arial"/>
        <b/>
        <color rgb="FFFFEC00"/>
      </rPr>
      <t>Faye Lund</t>
    </r>
  </si>
  <si>
    <t>bramkarz</t>
  </si>
  <si>
    <t>Norwegia</t>
  </si>
  <si>
    <r>
      <rPr>
        <rFont val="Arial"/>
        <color rgb="FFFFEC00"/>
      </rPr>
      <t xml:space="preserve">Villads </t>
    </r>
    <r>
      <rPr>
        <rFont val="Arial"/>
        <b/>
        <color rgb="FFFFEC00"/>
      </rPr>
      <t>Nielsen</t>
    </r>
  </si>
  <si>
    <t>obrońca</t>
  </si>
  <si>
    <t>Dania</t>
  </si>
  <si>
    <r>
      <rPr>
        <rFont val="Arial"/>
        <color rgb="FFFFEC00"/>
      </rPr>
      <t xml:space="preserve">Odin </t>
    </r>
    <r>
      <rPr>
        <rFont val="Arial"/>
        <b/>
        <color rgb="FFFFEC00"/>
      </rPr>
      <t>Bjørtuft</t>
    </r>
  </si>
  <si>
    <r>
      <rPr>
        <rFont val="Arial"/>
        <color rgb="FFFFEC00"/>
      </rPr>
      <t xml:space="preserve">Haitam </t>
    </r>
    <r>
      <rPr>
        <rFont val="Arial"/>
        <b/>
        <color rgb="FFFFEC00"/>
      </rPr>
      <t>Aleesami</t>
    </r>
  </si>
  <si>
    <r>
      <rPr>
        <rFont val="Arial"/>
        <color rgb="FFFFEC00"/>
      </rPr>
      <t xml:space="preserve">Jostein </t>
    </r>
    <r>
      <rPr>
        <rFont val="Arial"/>
        <b/>
        <color rgb="FFFFEC00"/>
      </rPr>
      <t>Gundersen</t>
    </r>
  </si>
  <si>
    <r>
      <rPr>
        <rFont val="Arial"/>
        <color rgb="FFFFEC00"/>
      </rPr>
      <t xml:space="preserve">Patrick </t>
    </r>
    <r>
      <rPr>
        <rFont val="Arial"/>
        <b/>
        <color rgb="FFFFEC00"/>
      </rPr>
      <t>Berg</t>
    </r>
  </si>
  <si>
    <t>pomocnik</t>
  </si>
  <si>
    <r>
      <rPr>
        <rFont val="Arial"/>
        <color rgb="FFFFEC00"/>
      </rPr>
      <t xml:space="preserve">Sondre </t>
    </r>
    <r>
      <rPr>
        <rFont val="Arial"/>
        <b/>
        <color rgb="FFFFEC00"/>
      </rPr>
      <t>Auklend</t>
    </r>
  </si>
  <si>
    <r>
      <rPr>
        <rFont val="Arial"/>
        <color rgb="FFFFEC00"/>
      </rPr>
      <t xml:space="preserve">Kasper </t>
    </r>
    <r>
      <rPr>
        <rFont val="Arial"/>
        <b/>
        <color rgb="FFFFEC00"/>
      </rPr>
      <t>Høgh</t>
    </r>
  </si>
  <si>
    <t>napastnik</t>
  </si>
  <si>
    <r>
      <rPr>
        <rFont val="Arial"/>
        <color rgb="FFFFEC00"/>
      </rPr>
      <t xml:space="preserve">Jens Petter </t>
    </r>
    <r>
      <rPr>
        <rFont val="Arial"/>
        <b/>
        <color rgb="FFFFEC00"/>
      </rPr>
      <t>Hauge</t>
    </r>
  </si>
  <si>
    <r>
      <rPr>
        <rFont val="Arial"/>
        <color rgb="FFFFEC00"/>
      </rPr>
      <t xml:space="preserve">Ole Didrik </t>
    </r>
    <r>
      <rPr>
        <rFont val="Arial"/>
        <b/>
        <color rgb="FFFFEC00"/>
      </rPr>
      <t>Blomberg</t>
    </r>
  </si>
  <si>
    <r>
      <rPr>
        <rFont val="Arial"/>
        <color rgb="FFFFEC00"/>
      </rPr>
      <t xml:space="preserve">Nikita </t>
    </r>
    <r>
      <rPr>
        <rFont val="Arial"/>
        <b/>
        <color rgb="FFFFEC00"/>
      </rPr>
      <t>Chajkin</t>
    </r>
  </si>
  <si>
    <r>
      <rPr>
        <rFont val="Arial"/>
        <b/>
        <color rgb="FFFFEC00"/>
      </rPr>
      <t>Rosja /</t>
    </r>
    <r>
      <rPr>
        <rFont val="Arial"/>
        <b val="0"/>
        <i/>
        <color rgb="FFFFEC00"/>
      </rPr>
      <t>Izrael</t>
    </r>
  </si>
  <si>
    <r>
      <rPr>
        <rFont val="Arial"/>
        <color rgb="FFFFEC00"/>
      </rPr>
      <t xml:space="preserve">Ulrik </t>
    </r>
    <r>
      <rPr>
        <rFont val="Arial"/>
        <b/>
        <color rgb="FFFFEC00"/>
      </rPr>
      <t>Saltnes</t>
    </r>
  </si>
  <si>
    <r>
      <rPr>
        <rFont val="Arial"/>
        <color rgb="FFFFEC00"/>
      </rPr>
      <t xml:space="preserve">Fredrik </t>
    </r>
    <r>
      <rPr>
        <rFont val="Arial"/>
        <b/>
        <color rgb="FFFFEC00"/>
      </rPr>
      <t>Bjørkan</t>
    </r>
  </si>
  <si>
    <r>
      <rPr>
        <rFont val="Arial"/>
        <color rgb="FFFFEC00"/>
      </rPr>
      <t xml:space="preserve">Ola </t>
    </r>
    <r>
      <rPr>
        <rFont val="Arial"/>
        <b/>
        <color rgb="FFFFEC00"/>
      </rPr>
      <t>Brynhildsen</t>
    </r>
  </si>
  <si>
    <r>
      <rPr>
        <rFont val="Arial"/>
        <color rgb="FFFFEC00"/>
      </rPr>
      <t xml:space="preserve">Brede </t>
    </r>
    <r>
      <rPr>
        <rFont val="Arial"/>
        <b/>
        <color rgb="FFFFEC00"/>
      </rPr>
      <t>Moe</t>
    </r>
  </si>
  <si>
    <r>
      <rPr>
        <rFont val="Arial"/>
        <color rgb="FFFFEC00"/>
      </rPr>
      <t xml:space="preserve">Sondre Brunstad </t>
    </r>
    <r>
      <rPr>
        <rFont val="Arial"/>
        <b/>
        <color rgb="FFFFEC00"/>
      </rPr>
      <t>Fet</t>
    </r>
  </si>
  <si>
    <r>
      <rPr>
        <rFont val="Arial"/>
        <color rgb="FFFFEC00"/>
      </rPr>
      <t xml:space="preserve">Fredrik </t>
    </r>
    <r>
      <rPr>
        <rFont val="Arial"/>
        <b/>
        <color rgb="FFFFEC00"/>
      </rPr>
      <t>Sjøvold</t>
    </r>
  </si>
  <si>
    <r>
      <rPr>
        <rFont val="Arial"/>
        <color rgb="FFFFEC00"/>
      </rPr>
      <t xml:space="preserve">Andreas </t>
    </r>
    <r>
      <rPr>
        <rFont val="Arial"/>
        <b/>
        <color rgb="FFFFEC00"/>
      </rPr>
      <t>Helmersen</t>
    </r>
  </si>
  <si>
    <r>
      <rPr>
        <rFont val="Arial"/>
        <color rgb="FFFFEC00"/>
      </rPr>
      <t xml:space="preserve">Anders </t>
    </r>
    <r>
      <rPr>
        <rFont val="Arial"/>
        <b/>
        <color rgb="FFFFEC00"/>
      </rPr>
      <t>Klynge</t>
    </r>
  </si>
  <si>
    <r>
      <rPr>
        <rFont val="Arial"/>
        <color rgb="FFFFEC00"/>
      </rPr>
      <t xml:space="preserve">Magnus </t>
    </r>
    <r>
      <rPr>
        <rFont val="Arial"/>
        <b/>
        <color rgb="FFFFEC00"/>
      </rPr>
      <t>Riisnæs</t>
    </r>
  </si>
  <si>
    <r>
      <rPr>
        <rFont val="Arial"/>
        <color rgb="FFFFEC00"/>
      </rPr>
      <t xml:space="preserve">Daniel </t>
    </r>
    <r>
      <rPr>
        <rFont val="Arial"/>
        <b/>
        <color rgb="FFFFEC00"/>
      </rPr>
      <t>Bassi</t>
    </r>
  </si>
  <si>
    <r>
      <rPr>
        <rFont val="Arial"/>
        <b/>
        <color rgb="FFFFEC00"/>
      </rPr>
      <t>Norwegia /</t>
    </r>
    <r>
      <rPr>
        <rFont val="Arial"/>
        <b val="0"/>
        <i/>
        <color rgb="FFFFEC00"/>
      </rPr>
      <t>Anglia</t>
    </r>
  </si>
  <si>
    <r>
      <rPr>
        <rFont val="Arial"/>
        <color rgb="FFFFEC00"/>
      </rPr>
      <t xml:space="preserve">Isak Dybvik </t>
    </r>
    <r>
      <rPr>
        <rFont val="Arial"/>
        <b/>
        <color rgb="FFFFEC00"/>
      </rPr>
      <t>Määttä</t>
    </r>
  </si>
  <si>
    <r>
      <rPr>
        <rFont val="Arial"/>
        <color rgb="FFFFEC00"/>
      </rPr>
      <t xml:space="preserve">Håkon </t>
    </r>
    <r>
      <rPr>
        <rFont val="Arial"/>
        <b/>
        <color rgb="FFFFEC00"/>
      </rPr>
      <t>Evjen</t>
    </r>
  </si>
  <si>
    <r>
      <rPr>
        <rFont val="Arial"/>
        <color rgb="FFFFEC00"/>
      </rPr>
      <t xml:space="preserve">Mathias </t>
    </r>
    <r>
      <rPr>
        <rFont val="Arial"/>
        <b/>
        <color rgb="FFFFEC00"/>
      </rPr>
      <t>Jørgensen</t>
    </r>
  </si>
  <si>
    <r>
      <rPr>
        <rFont val="Arial"/>
        <color rgb="FFFFEC00"/>
        <u/>
      </rPr>
      <t xml:space="preserve">Kasper Johansen </t>
    </r>
    <r>
      <rPr>
        <rFont val="Arial"/>
        <b/>
        <color rgb="FFFFEC00"/>
        <u/>
      </rPr>
      <t>Solhaug</t>
    </r>
  </si>
  <si>
    <r>
      <rPr>
        <rFont val="Arial"/>
        <color rgb="FFFFEC00"/>
        <u/>
      </rPr>
      <t xml:space="preserve">Jesber </t>
    </r>
    <r>
      <rPr>
        <rFont val="Arial"/>
        <b/>
        <color rgb="FFFFEC00"/>
        <u/>
      </rPr>
      <t>Berg-Hanssen</t>
    </r>
  </si>
  <si>
    <r>
      <rPr>
        <rFont val="Arial"/>
        <color rgb="FFFFEC00"/>
        <u/>
      </rPr>
      <t xml:space="preserve">Hindrin Najah </t>
    </r>
    <r>
      <rPr>
        <rFont val="Arial"/>
        <b/>
        <color rgb="FFFFEC00"/>
        <u/>
      </rPr>
      <t>Chooly</t>
    </r>
  </si>
  <si>
    <r>
      <rPr>
        <rFont val="Arial"/>
        <color rgb="FFFFEC00"/>
        <u/>
      </rPr>
      <t xml:space="preserve">Magnus Fagervik </t>
    </r>
    <r>
      <rPr>
        <rFont val="Arial"/>
        <b/>
        <color rgb="FFFFEC00"/>
        <u/>
      </rPr>
      <t>Antonsen</t>
    </r>
  </si>
  <si>
    <r>
      <rPr>
        <rFont val="Arial"/>
        <color rgb="FFFFEC00"/>
        <u/>
      </rPr>
      <t xml:space="preserve">Eryk </t>
    </r>
    <r>
      <rPr>
        <rFont val="Arial"/>
        <b/>
        <color rgb="FFFFEC00"/>
        <u/>
      </rPr>
      <t>Łukaszka</t>
    </r>
  </si>
  <si>
    <r>
      <rPr>
        <rFont val="Arial"/>
        <b/>
        <color rgb="FFFFEC00"/>
        <u/>
      </rPr>
      <t>Polska /</t>
    </r>
    <r>
      <rPr>
        <rFont val="Arial"/>
        <b val="0"/>
        <i/>
        <color rgb="FFFFEC00"/>
        <u/>
      </rPr>
      <t>Norwegia</t>
    </r>
  </si>
  <si>
    <r>
      <rPr>
        <rFont val="Arial"/>
        <color rgb="FFFFEC00"/>
        <u/>
      </rPr>
      <t xml:space="preserve">Magnus </t>
    </r>
    <r>
      <rPr>
        <rFont val="Arial"/>
        <b/>
        <color rgb="FFFFEC00"/>
        <u/>
      </rPr>
      <t>Brøndbo</t>
    </r>
  </si>
  <si>
    <r>
      <rPr>
        <rFont val="Arial"/>
        <color rgb="FFFFEC00"/>
        <u/>
      </rPr>
      <t xml:space="preserve">Isak </t>
    </r>
    <r>
      <rPr>
        <rFont val="Arial"/>
        <b/>
        <color rgb="FFFFEC00"/>
        <u/>
      </rPr>
      <t>Sjong</t>
    </r>
  </si>
  <si>
    <r>
      <rPr>
        <rFont val="Arial"/>
        <color rgb="FFFFEC00"/>
      </rPr>
      <t xml:space="preserve">Mikkel Bro </t>
    </r>
    <r>
      <rPr>
        <rFont val="Arial"/>
        <b/>
        <color rgb="FFFFEC00"/>
      </rPr>
      <t>Hansen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</si>
  <si>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</si>
  <si>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</si>
  <si>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</si>
  <si>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</si>
  <si>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</si>
  <si>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</si>
  <si>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</si>
  <si>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</si>
  <si>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FFEC00"/>
      </rPr>
      <t xml:space="preserve">Kjetil </t>
    </r>
    <r>
      <rPr>
        <rFont val="Arial"/>
        <b/>
        <color rgb="FFFFEC00"/>
      </rPr>
      <t>Knutsen</t>
    </r>
  </si>
  <si>
    <t>trener</t>
  </si>
  <si>
    <t>kolejka</t>
  </si>
  <si>
    <t>gospodarze</t>
  </si>
  <si>
    <t>goście</t>
  </si>
  <si>
    <t>gole dla Bodo</t>
  </si>
  <si>
    <t>wynik</t>
  </si>
  <si>
    <t>stadion</t>
  </si>
  <si>
    <t>Slavia Praga</t>
  </si>
  <si>
    <t>Bodø/Glimt</t>
  </si>
  <si>
    <t>Daniel Bassi 78, Sondre Brunstad Fet 90</t>
  </si>
  <si>
    <t>Praga (Fortuna Arena)</t>
  </si>
  <si>
    <t>Tottenham Hotspur</t>
  </si>
  <si>
    <t>Jens Petter Hauge 53, 66</t>
  </si>
  <si>
    <t>Bodø (Aspmyra Staduon)</t>
  </si>
  <si>
    <t>Galatasaray</t>
  </si>
  <si>
    <t>Andreas Helmersen 75</t>
  </si>
  <si>
    <t>Stambuł (Rams Park)</t>
  </si>
  <si>
    <t>Monaco</t>
  </si>
  <si>
    <t>0-1</t>
  </si>
  <si>
    <t>Juventus</t>
  </si>
  <si>
    <t>Ole Didrik Blomberg 27, Sondre Brunstad Fet 87 (k)</t>
  </si>
  <si>
    <t>Borussia Dortmund</t>
  </si>
  <si>
    <t>Haitam Aleesami 42, Jens Peter Hauge 75</t>
  </si>
  <si>
    <t>Dortmund (Westfalenstadion)</t>
  </si>
  <si>
    <t>Manchester City</t>
  </si>
  <si>
    <t>Kasper Høgh 22, 24, Jens Peter Hauge 58</t>
  </si>
  <si>
    <t>Atlético Madyt</t>
  </si>
  <si>
    <t xml:space="preserve"> Madryt (Metropolitano Stadium)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</si>
</sst>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0">
    <font>
      <sz val="10.0"/>
      <color rgb="FF000000"/>
      <name val="Arial"/>
      <scheme val="minor"/>
    </font>
    <font>
      <b/>
      <color rgb="FFFFEC00"/>
      <name val="Arial"/>
      <scheme val="minor"/>
    </font>
    <font>
      <color rgb="FFFFEC00"/>
      <name val="Arial"/>
      <scheme val="minor"/>
    </font>
    <font>
      <b/>
      <color rgb="FF000000"/>
      <name val="Arial"/>
      <scheme val="minor"/>
    </font>
    <font>
      <u/>
      <color theme="1"/>
      <name val="Arial"/>
      <scheme val="minor"/>
    </font>
    <font>
      <b/>
      <u/>
      <color rgb="FFFFEC00"/>
      <name val="Arial"/>
      <scheme val="minor"/>
    </font>
    <font>
      <u/>
      <color rgb="FFFFEC00"/>
      <name val="Arial"/>
      <scheme val="minor"/>
    </font>
    <font>
      <u/>
      <color rgb="FFFFEC00"/>
      <name val="Arial"/>
      <scheme val="minor"/>
    </font>
    <font>
      <b/>
      <u/>
      <color rgb="FFFFEC00"/>
      <name val="Arial"/>
      <scheme val="minor"/>
    </font>
    <font>
      <b/>
      <u/>
      <color rgb="FFFFEC00"/>
      <name val="Arial"/>
      <scheme val="minor"/>
    </font>
    <font>
      <b/>
      <u/>
      <color rgb="FFFFEC00"/>
      <name val="Arial"/>
      <scheme val="minor"/>
    </font>
    <font>
      <b/>
      <u/>
      <color rgb="FFFFEC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00F14"/>
        <bgColor rgb="FF100F14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FFEC00"/>
      </left>
      <right style="dotted">
        <color rgb="FFFFEC00"/>
      </right>
      <top style="dotted">
        <color rgb="FFFFEC00"/>
      </top>
      <bottom style="dotted">
        <color rgb="FFFFEC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0" fillId="0" fontId="4" numFmtId="0" xfId="0" applyFont="1"/>
    <xf borderId="1" fillId="2" fontId="3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shrinkToFit="0" vertical="center" wrapText="0"/>
    </xf>
    <xf borderId="1" fillId="2" fontId="10" numFmtId="164" xfId="0" applyAlignment="1" applyBorder="1" applyFont="1" applyNumberFormat="1">
      <alignment readingOrder="0" shrinkToFit="0" vertical="center" wrapText="0"/>
    </xf>
    <xf borderId="1" fillId="2" fontId="11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center"/>
    </xf>
    <xf borderId="0" fillId="0" fontId="15" numFmtId="164" xfId="0" applyFont="1" applyNumberFormat="1"/>
    <xf borderId="0" fillId="0" fontId="16" numFmtId="0" xfId="0" applyAlignment="1" applyFont="1">
      <alignment horizontal="center"/>
    </xf>
    <xf borderId="0" fillId="2" fontId="1" numFmtId="0" xfId="0" applyAlignment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7" numFmtId="0" xfId="0" applyAlignment="1" applyFont="1">
      <alignment readingOrder="0" shrinkToFit="0" vertical="center" wrapText="1"/>
    </xf>
    <xf borderId="0" fillId="4" fontId="17" numFmtId="165" xfId="0" applyAlignment="1" applyFont="1" applyNumberForma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7" numFmtId="0" xfId="0" applyAlignment="1" applyFont="1">
      <alignment readingOrder="0" shrinkToFit="0" vertical="center" wrapText="1"/>
    </xf>
    <xf borderId="0" fillId="5" fontId="17" numFmtId="165" xfId="0" applyAlignment="1" applyFont="1" applyNumberFormat="1">
      <alignment horizontal="center" readingOrder="0" shrinkToFit="0" vertical="center" wrapText="0"/>
    </xf>
    <xf borderId="0" fillId="5" fontId="17" numFmtId="0" xfId="0" applyAlignment="1" applyFont="1">
      <alignment shrinkToFit="0" vertical="center" wrapText="1"/>
    </xf>
    <xf borderId="0" fillId="5" fontId="17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7" numFmtId="0" xfId="0" applyAlignment="1" applyFont="1">
      <alignment readingOrder="0" shrinkToFit="0" vertical="center" wrapText="1"/>
    </xf>
    <xf borderId="0" fillId="3" fontId="17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horizontal="center"/>
    </xf>
    <xf borderId="0" fillId="0" fontId="19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none"/>
      </fill>
      <border/>
    </dxf>
  </dxfs>
  <tableStyles count="3">
    <tableStyle count="4" pivot="0" name="Bo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d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do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3" displayName="Bodo" name="Bodo" id="1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Bodo-style" showColumnStripes="0" showFirstColumn="1" showLastColumn="1" showRowStripes="1"/>
</table>
</file>

<file path=xl/tables/table2.xml><?xml version="1.0" encoding="utf-8"?>
<table xmlns="http://schemas.openxmlformats.org/spreadsheetml/2006/main" ref="A35:N36" displayName="trenerBodo" name="trenerBodo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odo-style 2" showColumnStripes="0" showFirstColumn="1" showLastColumn="1" showRowStripes="1"/>
</table>
</file>

<file path=xl/tables/table3.xml><?xml version="1.0" encoding="utf-8"?>
<table xmlns="http://schemas.openxmlformats.org/spreadsheetml/2006/main" ref="A38:F46" displayName="meczeBodo" name="meczeBodo" id="3">
  <tableColumns count="6">
    <tableColumn name="kolejka" id="1"/>
    <tableColumn name="gospodarze" id="2"/>
    <tableColumn name="goście" id="3"/>
    <tableColumn name="gole dla Bodo" id="4"/>
    <tableColumn name="wynik" id="5"/>
    <tableColumn name="stadion" id="6"/>
  </tableColumns>
  <tableStyleInfo name="Bod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22.5"/>
    <col customWidth="1" min="3" max="3" width="15.5"/>
    <col customWidth="1" min="4" max="4" width="40.13"/>
    <col customWidth="1" min="5" max="5" width="9.25"/>
    <col customWidth="1" min="6" max="6" width="25.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1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1" t="s">
        <v>16</v>
      </c>
    </row>
    <row r="2" ht="22.5" customHeight="1">
      <c r="A2" s="7">
        <v>1.0</v>
      </c>
      <c r="B2" s="8" t="s">
        <v>17</v>
      </c>
      <c r="C2" s="9" t="s">
        <v>18</v>
      </c>
      <c r="D2" s="10" t="s">
        <v>19</v>
      </c>
      <c r="E2" s="11" t="str">
        <f>IMAGE("https://flagcdn.com/w320/no.png")</f>
        <v>#REF!</v>
      </c>
      <c r="F2" s="12">
        <v>36300.0</v>
      </c>
      <c r="G2" s="13">
        <f t="shared" ref="G2:G33" si="1">DATEDIF(F2,TODAY(),"Y")</f>
        <v>26</v>
      </c>
      <c r="H2" s="8">
        <v>0.0</v>
      </c>
      <c r="I2" s="8">
        <v>0.0</v>
      </c>
      <c r="J2" s="14"/>
      <c r="K2" s="14"/>
      <c r="L2" s="14"/>
      <c r="M2" s="14"/>
      <c r="N2" s="14"/>
      <c r="O2" s="14"/>
      <c r="P2" s="14">
        <f t="shared" ref="P2:P33" si="2">J2+K2</f>
        <v>0</v>
      </c>
      <c r="Q2" s="14"/>
    </row>
    <row r="3" ht="22.5" customHeight="1">
      <c r="A3" s="7">
        <v>2.0</v>
      </c>
      <c r="B3" s="8" t="s">
        <v>20</v>
      </c>
      <c r="C3" s="9" t="s">
        <v>21</v>
      </c>
      <c r="D3" s="10" t="s">
        <v>22</v>
      </c>
      <c r="E3" s="11" t="str">
        <f>IMAGE("https://flagcdn.com/w320/dk.png")</f>
        <v>#REF!</v>
      </c>
      <c r="F3" s="12">
        <v>38381.0</v>
      </c>
      <c r="G3" s="13">
        <f t="shared" si="1"/>
        <v>20</v>
      </c>
      <c r="H3" s="15">
        <f>1+1+1+1</f>
        <v>4</v>
      </c>
      <c r="I3" s="15">
        <f>6+22+5+23</f>
        <v>56</v>
      </c>
      <c r="J3" s="15"/>
      <c r="K3" s="15"/>
      <c r="L3" s="15"/>
      <c r="M3" s="15"/>
      <c r="N3" s="15"/>
      <c r="O3" s="15"/>
      <c r="P3" s="15">
        <f t="shared" si="2"/>
        <v>0</v>
      </c>
      <c r="Q3" s="15"/>
    </row>
    <row r="4" ht="22.5" customHeight="1">
      <c r="A4" s="7">
        <v>4.0</v>
      </c>
      <c r="B4" s="8" t="s">
        <v>23</v>
      </c>
      <c r="C4" s="9" t="s">
        <v>21</v>
      </c>
      <c r="D4" s="10" t="s">
        <v>19</v>
      </c>
      <c r="E4" s="11" t="str">
        <f t="shared" ref="E4:E8" si="3">IMAGE("https://flagcdn.com/w320/no.png")</f>
        <v>#REF!</v>
      </c>
      <c r="F4" s="12">
        <v>36148.0</v>
      </c>
      <c r="G4" s="13">
        <f t="shared" si="1"/>
        <v>27</v>
      </c>
      <c r="H4" s="15">
        <f>1+1+1+1+1+1+1</f>
        <v>7</v>
      </c>
      <c r="I4" s="15">
        <f>90+90+90+90+90+90+90</f>
        <v>630</v>
      </c>
      <c r="J4" s="15"/>
      <c r="K4" s="15"/>
      <c r="L4" s="15">
        <f t="shared" ref="L4:L5" si="4">1</f>
        <v>1</v>
      </c>
      <c r="M4" s="15"/>
      <c r="N4" s="15"/>
      <c r="O4" s="15"/>
      <c r="P4" s="15">
        <f t="shared" si="2"/>
        <v>0</v>
      </c>
      <c r="Q4" s="15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22.5" customHeight="1">
      <c r="A5" s="7">
        <v>5.0</v>
      </c>
      <c r="B5" s="8" t="s">
        <v>24</v>
      </c>
      <c r="C5" s="9" t="s">
        <v>21</v>
      </c>
      <c r="D5" s="10" t="s">
        <v>19</v>
      </c>
      <c r="E5" s="11" t="str">
        <f t="shared" si="3"/>
        <v>#REF!</v>
      </c>
      <c r="F5" s="12">
        <v>35157.0</v>
      </c>
      <c r="G5" s="13">
        <f t="shared" si="1"/>
        <v>29</v>
      </c>
      <c r="H5" s="15">
        <f>1+1+1+1+1</f>
        <v>5</v>
      </c>
      <c r="I5" s="15">
        <f>84+89+68+60+67</f>
        <v>368</v>
      </c>
      <c r="J5" s="15">
        <f>1</f>
        <v>1</v>
      </c>
      <c r="K5" s="15"/>
      <c r="L5" s="15">
        <f t="shared" si="4"/>
        <v>1</v>
      </c>
      <c r="M5" s="15"/>
      <c r="N5" s="15"/>
      <c r="O5" s="15"/>
      <c r="P5" s="15">
        <f t="shared" si="2"/>
        <v>1</v>
      </c>
      <c r="Q5" s="15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22.5" customHeight="1">
      <c r="A6" s="7">
        <v>6.0</v>
      </c>
      <c r="B6" s="8" t="s">
        <v>25</v>
      </c>
      <c r="C6" s="9" t="s">
        <v>21</v>
      </c>
      <c r="D6" s="10" t="s">
        <v>19</v>
      </c>
      <c r="E6" s="11" t="str">
        <f t="shared" si="3"/>
        <v>#REF!</v>
      </c>
      <c r="F6" s="12">
        <v>35157.0</v>
      </c>
      <c r="G6" s="13">
        <f t="shared" si="1"/>
        <v>29</v>
      </c>
      <c r="H6" s="15">
        <f>1+1+1+1</f>
        <v>4</v>
      </c>
      <c r="I6" s="15">
        <f>64+4+35+90</f>
        <v>193</v>
      </c>
      <c r="J6" s="15"/>
      <c r="K6" s="15"/>
      <c r="L6" s="15"/>
      <c r="M6" s="15">
        <f>1</f>
        <v>1</v>
      </c>
      <c r="N6" s="15"/>
      <c r="O6" s="15">
        <f>1</f>
        <v>1</v>
      </c>
      <c r="P6" s="15">
        <f t="shared" si="2"/>
        <v>0</v>
      </c>
      <c r="Q6" s="15"/>
    </row>
    <row r="7" ht="22.5" customHeight="1">
      <c r="A7" s="7">
        <v>7.0</v>
      </c>
      <c r="B7" s="8" t="s">
        <v>26</v>
      </c>
      <c r="C7" s="9" t="s">
        <v>27</v>
      </c>
      <c r="D7" s="10" t="s">
        <v>19</v>
      </c>
      <c r="E7" s="11" t="str">
        <f t="shared" si="3"/>
        <v>#REF!</v>
      </c>
      <c r="F7" s="12">
        <v>35758.0</v>
      </c>
      <c r="G7" s="13">
        <f t="shared" si="1"/>
        <v>28</v>
      </c>
      <c r="H7" s="15">
        <f>1+1+1+1+1+1+1</f>
        <v>7</v>
      </c>
      <c r="I7" s="15">
        <f>90+90+90+90+90+90+90</f>
        <v>630</v>
      </c>
      <c r="J7" s="15"/>
      <c r="K7" s="15">
        <f>1</f>
        <v>1</v>
      </c>
      <c r="L7" s="15">
        <f t="shared" ref="L7:L8" si="5">1+1</f>
        <v>2</v>
      </c>
      <c r="M7" s="15"/>
      <c r="N7" s="15"/>
      <c r="O7" s="15"/>
      <c r="P7" s="15">
        <f t="shared" si="2"/>
        <v>1</v>
      </c>
      <c r="Q7" s="15"/>
    </row>
    <row r="8" ht="22.5" customHeight="1">
      <c r="A8" s="7">
        <v>8.0</v>
      </c>
      <c r="B8" s="8" t="s">
        <v>28</v>
      </c>
      <c r="C8" s="9" t="s">
        <v>27</v>
      </c>
      <c r="D8" s="10" t="s">
        <v>19</v>
      </c>
      <c r="E8" s="11" t="str">
        <f t="shared" si="3"/>
        <v>#REF!</v>
      </c>
      <c r="F8" s="12">
        <v>37782.0</v>
      </c>
      <c r="G8" s="13">
        <f t="shared" si="1"/>
        <v>22</v>
      </c>
      <c r="H8" s="15">
        <f>1+1+1+1+1+1</f>
        <v>6</v>
      </c>
      <c r="I8" s="15">
        <f>73+79+90+90+30+15</f>
        <v>377</v>
      </c>
      <c r="J8" s="15"/>
      <c r="K8" s="15"/>
      <c r="L8" s="15">
        <f t="shared" si="5"/>
        <v>2</v>
      </c>
      <c r="M8" s="15"/>
      <c r="N8" s="15"/>
      <c r="O8" s="15"/>
      <c r="P8" s="15">
        <f t="shared" si="2"/>
        <v>0</v>
      </c>
      <c r="Q8" s="15"/>
    </row>
    <row r="9" ht="22.5" customHeight="1">
      <c r="A9" s="7">
        <v>9.0</v>
      </c>
      <c r="B9" s="8" t="s">
        <v>29</v>
      </c>
      <c r="C9" s="9" t="s">
        <v>30</v>
      </c>
      <c r="D9" s="10" t="s">
        <v>22</v>
      </c>
      <c r="E9" s="11" t="str">
        <f>IMAGE("https://flagcdn.com/w320/dk.png")</f>
        <v>#REF!</v>
      </c>
      <c r="F9" s="12">
        <v>36866.0</v>
      </c>
      <c r="G9" s="13">
        <f t="shared" si="1"/>
        <v>25</v>
      </c>
      <c r="H9" s="15">
        <f t="shared" ref="H9:H10" si="6">1+1+1+1+1+1+1</f>
        <v>7</v>
      </c>
      <c r="I9" s="15">
        <f>73+79+68+72+86+67+75</f>
        <v>520</v>
      </c>
      <c r="J9" s="15">
        <f>2</f>
        <v>2</v>
      </c>
      <c r="K9" s="15">
        <f>1</f>
        <v>1</v>
      </c>
      <c r="L9" s="15"/>
      <c r="M9" s="15"/>
      <c r="N9" s="15"/>
      <c r="O9" s="15"/>
      <c r="P9" s="15">
        <f t="shared" si="2"/>
        <v>3</v>
      </c>
      <c r="Q9" s="15"/>
    </row>
    <row r="10" ht="22.5" customHeight="1">
      <c r="A10" s="7">
        <v>10.0</v>
      </c>
      <c r="B10" s="8" t="s">
        <v>31</v>
      </c>
      <c r="C10" s="9" t="s">
        <v>30</v>
      </c>
      <c r="D10" s="10" t="s">
        <v>19</v>
      </c>
      <c r="E10" s="11" t="str">
        <f t="shared" ref="E10:E11" si="7">IMAGE("https://flagcdn.com/w320/no.png")</f>
        <v>#REF!</v>
      </c>
      <c r="F10" s="12">
        <v>36445.0</v>
      </c>
      <c r="G10" s="13">
        <f t="shared" si="1"/>
        <v>26</v>
      </c>
      <c r="H10" s="15">
        <f t="shared" si="6"/>
        <v>7</v>
      </c>
      <c r="I10" s="15">
        <f>90+90+90+85+14+90+90</f>
        <v>549</v>
      </c>
      <c r="J10" s="15">
        <f>2+1+1</f>
        <v>4</v>
      </c>
      <c r="K10" s="15"/>
      <c r="L10" s="15"/>
      <c r="M10" s="15"/>
      <c r="N10" s="15"/>
      <c r="O10" s="15"/>
      <c r="P10" s="15">
        <f t="shared" si="2"/>
        <v>4</v>
      </c>
      <c r="Q10" s="15"/>
    </row>
    <row r="11" ht="22.5" customHeight="1">
      <c r="A11" s="7">
        <v>11.0</v>
      </c>
      <c r="B11" s="8" t="s">
        <v>32</v>
      </c>
      <c r="C11" s="9" t="s">
        <v>30</v>
      </c>
      <c r="D11" s="10" t="s">
        <v>19</v>
      </c>
      <c r="E11" s="11" t="str">
        <f t="shared" si="7"/>
        <v>#REF!</v>
      </c>
      <c r="F11" s="12">
        <v>36689.0</v>
      </c>
      <c r="G11" s="13">
        <f t="shared" si="1"/>
        <v>25</v>
      </c>
      <c r="H11" s="15">
        <f>1+1+1+1+1</f>
        <v>5</v>
      </c>
      <c r="I11" s="15">
        <f>11+18+76+67+75</f>
        <v>247</v>
      </c>
      <c r="J11" s="15">
        <f>1</f>
        <v>1</v>
      </c>
      <c r="K11" s="15">
        <f>2</f>
        <v>2</v>
      </c>
      <c r="L11" s="15"/>
      <c r="M11" s="15"/>
      <c r="N11" s="15"/>
      <c r="O11" s="15"/>
      <c r="P11" s="15">
        <f t="shared" si="2"/>
        <v>3</v>
      </c>
      <c r="Q11" s="15"/>
    </row>
    <row r="12" ht="22.5" customHeight="1">
      <c r="A12" s="7">
        <v>12.0</v>
      </c>
      <c r="B12" s="8" t="s">
        <v>33</v>
      </c>
      <c r="C12" s="9" t="s">
        <v>18</v>
      </c>
      <c r="D12" s="10" t="s">
        <v>34</v>
      </c>
      <c r="E12" s="11" t="str">
        <f>IMAGE("https://flagcdn.com/w320/ru.png")</f>
        <v>#REF!</v>
      </c>
      <c r="F12" s="12">
        <v>34891.0</v>
      </c>
      <c r="G12" s="13">
        <f t="shared" si="1"/>
        <v>30</v>
      </c>
      <c r="H12" s="15">
        <f>1+1+1+1+1+1+1</f>
        <v>7</v>
      </c>
      <c r="I12" s="15">
        <f>90+90+90+90+90+90+90</f>
        <v>630</v>
      </c>
      <c r="J12" s="15"/>
      <c r="K12" s="15"/>
      <c r="L12" s="15"/>
      <c r="M12" s="15"/>
      <c r="N12" s="15"/>
      <c r="O12" s="15"/>
      <c r="P12" s="15">
        <f t="shared" si="2"/>
        <v>0</v>
      </c>
      <c r="Q12" s="15"/>
    </row>
    <row r="13" ht="22.5" customHeight="1">
      <c r="A13" s="7">
        <v>14.0</v>
      </c>
      <c r="B13" s="8" t="s">
        <v>35</v>
      </c>
      <c r="C13" s="9" t="s">
        <v>27</v>
      </c>
      <c r="D13" s="10" t="s">
        <v>19</v>
      </c>
      <c r="E13" s="11" t="str">
        <f t="shared" ref="E13:E19" si="8">IMAGE("https://flagcdn.com/w320/no.png")</f>
        <v>#REF!</v>
      </c>
      <c r="F13" s="12">
        <v>33918.0</v>
      </c>
      <c r="G13" s="13">
        <f t="shared" si="1"/>
        <v>33</v>
      </c>
      <c r="H13" s="17">
        <f>1+1</f>
        <v>2</v>
      </c>
      <c r="I13" s="17">
        <f>45+15</f>
        <v>60</v>
      </c>
      <c r="J13" s="15"/>
      <c r="K13" s="15"/>
      <c r="L13" s="15"/>
      <c r="M13" s="15"/>
      <c r="N13" s="15"/>
      <c r="O13" s="15"/>
      <c r="P13" s="15">
        <f t="shared" si="2"/>
        <v>0</v>
      </c>
      <c r="Q13" s="15"/>
    </row>
    <row r="14" ht="22.5" customHeight="1">
      <c r="A14" s="7">
        <v>15.0</v>
      </c>
      <c r="B14" s="8" t="s">
        <v>36</v>
      </c>
      <c r="C14" s="9" t="s">
        <v>21</v>
      </c>
      <c r="D14" s="10" t="s">
        <v>19</v>
      </c>
      <c r="E14" s="11" t="str">
        <f t="shared" si="8"/>
        <v>#REF!</v>
      </c>
      <c r="F14" s="12">
        <v>36028.0</v>
      </c>
      <c r="G14" s="13">
        <f t="shared" si="1"/>
        <v>27</v>
      </c>
      <c r="H14" s="15">
        <f>1+1+1+1+1</f>
        <v>5</v>
      </c>
      <c r="I14" s="15">
        <f>90+80+85+90+90</f>
        <v>435</v>
      </c>
      <c r="J14" s="15"/>
      <c r="K14" s="15">
        <f t="shared" ref="K14:L14" si="9">1</f>
        <v>1</v>
      </c>
      <c r="L14" s="15">
        <f t="shared" si="9"/>
        <v>1</v>
      </c>
      <c r="M14" s="15"/>
      <c r="N14" s="15"/>
      <c r="O14" s="15"/>
      <c r="P14" s="15">
        <f t="shared" si="2"/>
        <v>1</v>
      </c>
      <c r="Q14" s="15"/>
    </row>
    <row r="15" ht="22.5" customHeight="1">
      <c r="A15" s="7">
        <v>17.0</v>
      </c>
      <c r="B15" s="8" t="s">
        <v>37</v>
      </c>
      <c r="C15" s="9" t="s">
        <v>30</v>
      </c>
      <c r="D15" s="10" t="s">
        <v>19</v>
      </c>
      <c r="E15" s="11" t="str">
        <f t="shared" si="8"/>
        <v>#REF!</v>
      </c>
      <c r="F15" s="12">
        <v>36277.0</v>
      </c>
      <c r="G15" s="13">
        <f t="shared" si="1"/>
        <v>26</v>
      </c>
      <c r="H15" s="15"/>
      <c r="I15" s="15"/>
      <c r="J15" s="15"/>
      <c r="K15" s="15"/>
      <c r="L15" s="15"/>
      <c r="M15" s="15"/>
      <c r="N15" s="15"/>
      <c r="O15" s="15"/>
      <c r="P15" s="15">
        <f t="shared" si="2"/>
        <v>0</v>
      </c>
      <c r="Q15" s="15"/>
    </row>
    <row r="16" ht="22.5" customHeight="1">
      <c r="A16" s="7">
        <v>18.0</v>
      </c>
      <c r="B16" s="8" t="s">
        <v>38</v>
      </c>
      <c r="C16" s="9" t="s">
        <v>21</v>
      </c>
      <c r="D16" s="10" t="s">
        <v>19</v>
      </c>
      <c r="E16" s="11" t="str">
        <f t="shared" si="8"/>
        <v>#REF!</v>
      </c>
      <c r="F16" s="12">
        <v>33587.0</v>
      </c>
      <c r="G16" s="13">
        <f t="shared" si="1"/>
        <v>34</v>
      </c>
      <c r="H16" s="17">
        <f>1+1</f>
        <v>2</v>
      </c>
      <c r="I16" s="17">
        <f>45+30</f>
        <v>75</v>
      </c>
      <c r="J16" s="15"/>
      <c r="K16" s="15"/>
      <c r="L16" s="15"/>
      <c r="M16" s="15"/>
      <c r="N16" s="15"/>
      <c r="O16" s="15"/>
      <c r="P16" s="15">
        <f t="shared" si="2"/>
        <v>0</v>
      </c>
      <c r="Q16" s="15"/>
    </row>
    <row r="17" ht="22.5" customHeight="1">
      <c r="A17" s="7">
        <v>19.0</v>
      </c>
      <c r="B17" s="8" t="s">
        <v>39</v>
      </c>
      <c r="C17" s="9" t="s">
        <v>27</v>
      </c>
      <c r="D17" s="10" t="s">
        <v>19</v>
      </c>
      <c r="E17" s="11" t="str">
        <f t="shared" si="8"/>
        <v>#REF!</v>
      </c>
      <c r="F17" s="12">
        <v>35447.0</v>
      </c>
      <c r="G17" s="13">
        <f t="shared" si="1"/>
        <v>29</v>
      </c>
      <c r="H17" s="15">
        <f t="shared" ref="H17:H19" si="10">1+1+1+1+1+1+1</f>
        <v>7</v>
      </c>
      <c r="I17" s="15">
        <f>17+90+68+72+90+45+81</f>
        <v>463</v>
      </c>
      <c r="J17" s="15">
        <f>1+1</f>
        <v>2</v>
      </c>
      <c r="K17" s="15">
        <f>1</f>
        <v>1</v>
      </c>
      <c r="L17" s="15"/>
      <c r="M17" s="15"/>
      <c r="N17" s="15"/>
      <c r="O17" s="15"/>
      <c r="P17" s="15">
        <f t="shared" si="2"/>
        <v>3</v>
      </c>
      <c r="Q17" s="15"/>
    </row>
    <row r="18" ht="22.5" customHeight="1">
      <c r="A18" s="7">
        <v>20.0</v>
      </c>
      <c r="B18" s="8" t="s">
        <v>40</v>
      </c>
      <c r="C18" s="9" t="s">
        <v>21</v>
      </c>
      <c r="D18" s="10" t="s">
        <v>19</v>
      </c>
      <c r="E18" s="11" t="str">
        <f t="shared" si="8"/>
        <v>#REF!</v>
      </c>
      <c r="F18" s="12">
        <v>37850.0</v>
      </c>
      <c r="G18" s="13">
        <f t="shared" si="1"/>
        <v>22</v>
      </c>
      <c r="H18" s="15">
        <f t="shared" si="10"/>
        <v>7</v>
      </c>
      <c r="I18" s="15">
        <f>90+90+90+90+90+90+90</f>
        <v>630</v>
      </c>
      <c r="J18" s="15"/>
      <c r="K18" s="15"/>
      <c r="L18" s="15"/>
      <c r="M18" s="15"/>
      <c r="N18" s="15"/>
      <c r="O18" s="15"/>
      <c r="P18" s="15">
        <f t="shared" si="2"/>
        <v>0</v>
      </c>
      <c r="Q18" s="15"/>
    </row>
    <row r="19" ht="22.5" customHeight="1">
      <c r="A19" s="7">
        <v>21.0</v>
      </c>
      <c r="B19" s="8" t="s">
        <v>41</v>
      </c>
      <c r="C19" s="9" t="s">
        <v>30</v>
      </c>
      <c r="D19" s="10" t="s">
        <v>19</v>
      </c>
      <c r="E19" s="11" t="str">
        <f t="shared" si="8"/>
        <v>#REF!</v>
      </c>
      <c r="F19" s="12">
        <v>35869.0</v>
      </c>
      <c r="G19" s="13">
        <f t="shared" si="1"/>
        <v>27</v>
      </c>
      <c r="H19" s="15">
        <f t="shared" si="10"/>
        <v>7</v>
      </c>
      <c r="I19" s="15">
        <f>17+11+22+18+4+23+15</f>
        <v>110</v>
      </c>
      <c r="J19" s="15">
        <f>1</f>
        <v>1</v>
      </c>
      <c r="K19" s="15"/>
      <c r="L19" s="15"/>
      <c r="M19" s="15"/>
      <c r="N19" s="15"/>
      <c r="O19" s="15"/>
      <c r="P19" s="15">
        <f t="shared" si="2"/>
        <v>1</v>
      </c>
      <c r="Q19" s="15"/>
    </row>
    <row r="20" ht="22.5" customHeight="1">
      <c r="A20" s="7">
        <v>22.0</v>
      </c>
      <c r="B20" s="8" t="s">
        <v>42</v>
      </c>
      <c r="C20" s="9" t="s">
        <v>27</v>
      </c>
      <c r="D20" s="10" t="s">
        <v>22</v>
      </c>
      <c r="E20" s="11" t="str">
        <f>IMAGE("https://flagcdn.com/w320/dk.png")</f>
        <v>#REF!</v>
      </c>
      <c r="F20" s="12">
        <v>36813.0</v>
      </c>
      <c r="G20" s="13">
        <f t="shared" si="1"/>
        <v>25</v>
      </c>
      <c r="H20" s="17">
        <f>1+1+1</f>
        <v>3</v>
      </c>
      <c r="I20" s="17">
        <f>1+3+9</f>
        <v>13</v>
      </c>
      <c r="J20" s="15"/>
      <c r="K20" s="15"/>
      <c r="L20" s="15"/>
      <c r="M20" s="15"/>
      <c r="N20" s="15"/>
      <c r="O20" s="15"/>
      <c r="P20" s="15">
        <f t="shared" si="2"/>
        <v>0</v>
      </c>
      <c r="Q20" s="15"/>
    </row>
    <row r="21" ht="22.5" customHeight="1">
      <c r="A21" s="7">
        <v>23.0</v>
      </c>
      <c r="B21" s="8" t="s">
        <v>43</v>
      </c>
      <c r="C21" s="9" t="s">
        <v>27</v>
      </c>
      <c r="D21" s="10" t="s">
        <v>19</v>
      </c>
      <c r="E21" s="11" t="str">
        <f t="shared" ref="E21:E29" si="11">IMAGE("https://flagcdn.com/w320/no.png")</f>
        <v>#REF!</v>
      </c>
      <c r="F21" s="12">
        <v>38295.0</v>
      </c>
      <c r="G21" s="13">
        <f t="shared" si="1"/>
        <v>21</v>
      </c>
      <c r="H21" s="15">
        <f>1</f>
        <v>1</v>
      </c>
      <c r="I21" s="15">
        <f>26</f>
        <v>26</v>
      </c>
      <c r="J21" s="15"/>
      <c r="K21" s="15"/>
      <c r="L21" s="15"/>
      <c r="M21" s="15"/>
      <c r="N21" s="15"/>
      <c r="O21" s="15"/>
      <c r="P21" s="15">
        <f t="shared" si="2"/>
        <v>0</v>
      </c>
      <c r="Q21" s="15"/>
    </row>
    <row r="22" ht="22.5" customHeight="1">
      <c r="A22" s="7">
        <v>24.0</v>
      </c>
      <c r="B22" s="8" t="s">
        <v>44</v>
      </c>
      <c r="C22" s="9" t="s">
        <v>30</v>
      </c>
      <c r="D22" s="10" t="s">
        <v>45</v>
      </c>
      <c r="E22" s="11" t="str">
        <f t="shared" si="11"/>
        <v>#REF!</v>
      </c>
      <c r="F22" s="12">
        <v>38291.0</v>
      </c>
      <c r="G22" s="13">
        <f t="shared" si="1"/>
        <v>21</v>
      </c>
      <c r="H22" s="15">
        <f>1+1</f>
        <v>2</v>
      </c>
      <c r="I22" s="15">
        <f>45+22</f>
        <v>67</v>
      </c>
      <c r="J22" s="15">
        <f>1</f>
        <v>1</v>
      </c>
      <c r="K22" s="15"/>
      <c r="L22" s="15"/>
      <c r="M22" s="15"/>
      <c r="N22" s="15"/>
      <c r="O22" s="15"/>
      <c r="P22" s="15">
        <f t="shared" si="2"/>
        <v>1</v>
      </c>
      <c r="Q22" s="15"/>
    </row>
    <row r="23" ht="22.5" customHeight="1">
      <c r="A23" s="7">
        <v>25.0</v>
      </c>
      <c r="B23" s="8" t="s">
        <v>46</v>
      </c>
      <c r="C23" s="9" t="s">
        <v>30</v>
      </c>
      <c r="D23" s="10" t="s">
        <v>19</v>
      </c>
      <c r="E23" s="11" t="str">
        <f t="shared" si="11"/>
        <v>#REF!</v>
      </c>
      <c r="F23" s="12">
        <v>37153.0</v>
      </c>
      <c r="G23" s="13">
        <f t="shared" si="1"/>
        <v>24</v>
      </c>
      <c r="H23" s="17">
        <f>1+1+1+1+1</f>
        <v>5</v>
      </c>
      <c r="I23" s="17">
        <f>10+5+60+81+9</f>
        <v>165</v>
      </c>
      <c r="J23" s="15"/>
      <c r="K23" s="15"/>
      <c r="L23" s="15"/>
      <c r="M23" s="15"/>
      <c r="N23" s="15"/>
      <c r="O23" s="15"/>
      <c r="P23" s="15">
        <f t="shared" si="2"/>
        <v>0</v>
      </c>
      <c r="Q23" s="15"/>
    </row>
    <row r="24" ht="22.5" customHeight="1">
      <c r="A24" s="7">
        <v>26.0</v>
      </c>
      <c r="B24" s="8" t="s">
        <v>47</v>
      </c>
      <c r="C24" s="9" t="s">
        <v>27</v>
      </c>
      <c r="D24" s="10" t="s">
        <v>19</v>
      </c>
      <c r="E24" s="11" t="str">
        <f t="shared" si="11"/>
        <v>#REF!</v>
      </c>
      <c r="F24" s="12">
        <v>36570.0</v>
      </c>
      <c r="G24" s="13">
        <f t="shared" si="1"/>
        <v>25</v>
      </c>
      <c r="H24" s="15">
        <f>1+1+1+1+1+1+1</f>
        <v>7</v>
      </c>
      <c r="I24" s="15">
        <f>90+86+87+90+76+90+75</f>
        <v>594</v>
      </c>
      <c r="J24" s="15"/>
      <c r="K24" s="15">
        <f>2+1</f>
        <v>3</v>
      </c>
      <c r="L24" s="15"/>
      <c r="M24" s="15"/>
      <c r="N24" s="15"/>
      <c r="O24" s="15"/>
      <c r="P24" s="15">
        <f t="shared" si="2"/>
        <v>3</v>
      </c>
      <c r="Q24" s="15"/>
    </row>
    <row r="25" ht="22.5" customHeight="1">
      <c r="A25" s="7">
        <v>30.0</v>
      </c>
      <c r="B25" s="8" t="s">
        <v>48</v>
      </c>
      <c r="C25" s="9" t="s">
        <v>30</v>
      </c>
      <c r="D25" s="10" t="s">
        <v>22</v>
      </c>
      <c r="E25" s="11" t="str">
        <f t="shared" si="11"/>
        <v>#REF!</v>
      </c>
      <c r="F25" s="12">
        <v>36789.0</v>
      </c>
      <c r="G25" s="13">
        <f t="shared" si="1"/>
        <v>25</v>
      </c>
      <c r="H25" s="15">
        <f>1+1+1</f>
        <v>3</v>
      </c>
      <c r="I25" s="15">
        <f>45+14+23</f>
        <v>82</v>
      </c>
      <c r="J25" s="15"/>
      <c r="K25" s="15"/>
      <c r="L25" s="15"/>
      <c r="M25" s="15"/>
      <c r="N25" s="15"/>
      <c r="O25" s="15"/>
      <c r="P25" s="15">
        <f t="shared" si="2"/>
        <v>0</v>
      </c>
      <c r="Q25" s="15"/>
    </row>
    <row r="26" ht="22.5" customHeight="1">
      <c r="A26" s="18">
        <v>40.0</v>
      </c>
      <c r="B26" s="19" t="s">
        <v>49</v>
      </c>
      <c r="C26" s="20" t="s">
        <v>27</v>
      </c>
      <c r="D26" s="21" t="s">
        <v>19</v>
      </c>
      <c r="E26" s="22" t="str">
        <f t="shared" si="11"/>
        <v>#REF!</v>
      </c>
      <c r="F26" s="23">
        <v>39205.0</v>
      </c>
      <c r="G26" s="24">
        <f t="shared" si="1"/>
        <v>18</v>
      </c>
      <c r="H26" s="25"/>
      <c r="I26" s="25"/>
      <c r="J26" s="25"/>
      <c r="K26" s="25"/>
      <c r="L26" s="25"/>
      <c r="M26" s="25"/>
      <c r="N26" s="25"/>
      <c r="O26" s="25"/>
      <c r="P26" s="25">
        <f t="shared" si="2"/>
        <v>0</v>
      </c>
      <c r="Q26" s="25"/>
    </row>
    <row r="27" ht="22.5" customHeight="1">
      <c r="A27" s="18">
        <v>41.0</v>
      </c>
      <c r="B27" s="19" t="s">
        <v>50</v>
      </c>
      <c r="C27" s="20" t="s">
        <v>27</v>
      </c>
      <c r="D27" s="21" t="s">
        <v>19</v>
      </c>
      <c r="E27" s="22" t="str">
        <f t="shared" si="11"/>
        <v>#REF!</v>
      </c>
      <c r="F27" s="23">
        <v>38983.0</v>
      </c>
      <c r="G27" s="24">
        <f t="shared" si="1"/>
        <v>19</v>
      </c>
      <c r="H27" s="25"/>
      <c r="I27" s="25"/>
      <c r="J27" s="25"/>
      <c r="K27" s="25"/>
      <c r="L27" s="25"/>
      <c r="M27" s="25"/>
      <c r="N27" s="25"/>
      <c r="O27" s="25"/>
      <c r="P27" s="25">
        <f t="shared" si="2"/>
        <v>0</v>
      </c>
      <c r="Q27" s="25"/>
    </row>
    <row r="28" ht="22.5" customHeight="1">
      <c r="A28" s="18">
        <v>31.0</v>
      </c>
      <c r="B28" s="19" t="s">
        <v>51</v>
      </c>
      <c r="C28" s="20" t="s">
        <v>30</v>
      </c>
      <c r="D28" s="21" t="s">
        <v>19</v>
      </c>
      <c r="E28" s="22" t="str">
        <f t="shared" si="11"/>
        <v>#REF!</v>
      </c>
      <c r="F28" s="23">
        <v>39617.0</v>
      </c>
      <c r="G28" s="24">
        <f t="shared" si="1"/>
        <v>17</v>
      </c>
      <c r="H28" s="26">
        <v>0.0</v>
      </c>
      <c r="I28" s="26">
        <v>0.0</v>
      </c>
      <c r="J28" s="25"/>
      <c r="K28" s="25"/>
      <c r="L28" s="25"/>
      <c r="M28" s="25"/>
      <c r="N28" s="25"/>
      <c r="O28" s="25"/>
      <c r="P28" s="25">
        <f t="shared" si="2"/>
        <v>0</v>
      </c>
      <c r="Q28" s="25"/>
    </row>
    <row r="29" ht="22.5" customHeight="1">
      <c r="A29" s="18">
        <v>42.0</v>
      </c>
      <c r="B29" s="19" t="s">
        <v>52</v>
      </c>
      <c r="C29" s="20" t="s">
        <v>21</v>
      </c>
      <c r="D29" s="21" t="s">
        <v>19</v>
      </c>
      <c r="E29" s="22" t="str">
        <f t="shared" si="11"/>
        <v>#REF!</v>
      </c>
      <c r="F29" s="23">
        <v>38880.0</v>
      </c>
      <c r="G29" s="24">
        <f t="shared" si="1"/>
        <v>19</v>
      </c>
      <c r="H29" s="25"/>
      <c r="I29" s="25"/>
      <c r="J29" s="25"/>
      <c r="K29" s="25"/>
      <c r="L29" s="25"/>
      <c r="M29" s="25"/>
      <c r="N29" s="25"/>
      <c r="O29" s="25"/>
      <c r="P29" s="25">
        <f t="shared" si="2"/>
        <v>0</v>
      </c>
      <c r="Q29" s="25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22.5" customHeight="1">
      <c r="A30" s="18">
        <v>43.0</v>
      </c>
      <c r="B30" s="19" t="s">
        <v>53</v>
      </c>
      <c r="C30" s="20" t="s">
        <v>30</v>
      </c>
      <c r="D30" s="21" t="s">
        <v>54</v>
      </c>
      <c r="E30" s="22" t="str">
        <f>IMAGE("https://flagcdn.com/w320/pl.png")</f>
        <v>#REF!</v>
      </c>
      <c r="F30" s="23">
        <v>39562.0</v>
      </c>
      <c r="G30" s="24">
        <f t="shared" si="1"/>
        <v>17</v>
      </c>
      <c r="H30" s="25"/>
      <c r="I30" s="25"/>
      <c r="J30" s="25"/>
      <c r="K30" s="25"/>
      <c r="L30" s="25"/>
      <c r="M30" s="25"/>
      <c r="N30" s="25"/>
      <c r="O30" s="25"/>
      <c r="P30" s="25">
        <f t="shared" si="2"/>
        <v>0</v>
      </c>
      <c r="Q30" s="25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22.5" customHeight="1">
      <c r="A31" s="18">
        <v>44.0</v>
      </c>
      <c r="B31" s="19" t="s">
        <v>55</v>
      </c>
      <c r="C31" s="20" t="s">
        <v>18</v>
      </c>
      <c r="D31" s="21" t="s">
        <v>19</v>
      </c>
      <c r="E31" s="22" t="str">
        <f t="shared" ref="E31:E32" si="12">IMAGE("https://flagcdn.com/w320/no.png")</f>
        <v>#REF!</v>
      </c>
      <c r="F31" s="23">
        <v>38413.0</v>
      </c>
      <c r="G31" s="24">
        <f t="shared" si="1"/>
        <v>20</v>
      </c>
      <c r="H31" s="26">
        <v>0.0</v>
      </c>
      <c r="I31" s="26">
        <v>0.0</v>
      </c>
      <c r="J31" s="25"/>
      <c r="K31" s="25"/>
      <c r="L31" s="25"/>
      <c r="M31" s="25"/>
      <c r="N31" s="25"/>
      <c r="O31" s="25"/>
      <c r="P31" s="25">
        <f t="shared" si="2"/>
        <v>0</v>
      </c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22.5" customHeight="1">
      <c r="A32" s="18">
        <v>45.0</v>
      </c>
      <c r="B32" s="19" t="s">
        <v>56</v>
      </c>
      <c r="C32" s="20" t="s">
        <v>18</v>
      </c>
      <c r="D32" s="21" t="s">
        <v>19</v>
      </c>
      <c r="E32" s="22" t="str">
        <f t="shared" si="12"/>
        <v>#REF!</v>
      </c>
      <c r="F32" s="23">
        <v>39090.0</v>
      </c>
      <c r="G32" s="24">
        <f t="shared" si="1"/>
        <v>19</v>
      </c>
      <c r="H32" s="26">
        <v>0.0</v>
      </c>
      <c r="I32" s="26">
        <v>0.0</v>
      </c>
      <c r="J32" s="25"/>
      <c r="K32" s="25"/>
      <c r="L32" s="25"/>
      <c r="M32" s="25"/>
      <c r="N32" s="25"/>
      <c r="O32" s="25"/>
      <c r="P32" s="25">
        <f t="shared" si="2"/>
        <v>0</v>
      </c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22.5" customHeight="1">
      <c r="A33" s="7">
        <v>77.0</v>
      </c>
      <c r="B33" s="8" t="s">
        <v>57</v>
      </c>
      <c r="C33" s="9" t="s">
        <v>30</v>
      </c>
      <c r="D33" s="10" t="s">
        <v>22</v>
      </c>
      <c r="E33" s="11" t="str">
        <f>IMAGE("https://flagcdn.com/w320/dk.png")</f>
        <v>#REF!</v>
      </c>
      <c r="F33" s="12">
        <v>39838.0</v>
      </c>
      <c r="G33" s="13">
        <f t="shared" si="1"/>
        <v>17</v>
      </c>
      <c r="H33" s="17">
        <v>0.0</v>
      </c>
      <c r="I33" s="17">
        <v>0.0</v>
      </c>
      <c r="J33" s="15"/>
      <c r="K33" s="15"/>
      <c r="L33" s="15"/>
      <c r="M33" s="15"/>
      <c r="N33" s="15"/>
      <c r="O33" s="15"/>
      <c r="P33" s="15">
        <f t="shared" si="2"/>
        <v>0</v>
      </c>
      <c r="Q33" s="15"/>
    </row>
    <row r="34">
      <c r="A34" s="27"/>
      <c r="B34" s="28"/>
      <c r="C34" s="28"/>
      <c r="D34" s="29"/>
      <c r="E34" s="30"/>
      <c r="F34" s="31"/>
      <c r="G34" s="28"/>
      <c r="H34" s="32">
        <f>SUM(H2:H33)</f>
        <v>110</v>
      </c>
      <c r="I34" s="32">
        <f>SUM(I2:I33)+10</f>
        <v>6930</v>
      </c>
      <c r="J34" s="32">
        <f t="shared" ref="J34:Q34" si="13">SUM(J2:J33)</f>
        <v>12</v>
      </c>
      <c r="K34" s="32">
        <f t="shared" si="13"/>
        <v>9</v>
      </c>
      <c r="L34" s="32">
        <f t="shared" si="13"/>
        <v>7</v>
      </c>
      <c r="M34" s="32">
        <f t="shared" si="13"/>
        <v>1</v>
      </c>
      <c r="N34" s="32">
        <f t="shared" si="13"/>
        <v>0</v>
      </c>
      <c r="O34" s="32">
        <f t="shared" si="13"/>
        <v>1</v>
      </c>
      <c r="P34" s="32">
        <f t="shared" si="13"/>
        <v>21</v>
      </c>
      <c r="Q34" s="32">
        <f t="shared" si="13"/>
        <v>0</v>
      </c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ht="22.5" customHeight="1">
      <c r="A35" s="1" t="s">
        <v>58</v>
      </c>
      <c r="B35" s="2" t="s">
        <v>1</v>
      </c>
      <c r="C35" s="2" t="s">
        <v>59</v>
      </c>
      <c r="D35" s="33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60</v>
      </c>
      <c r="J35" s="2" t="s">
        <v>61</v>
      </c>
      <c r="K35" s="2" t="s">
        <v>62</v>
      </c>
      <c r="L35" s="2" t="s">
        <v>63</v>
      </c>
      <c r="M35" s="2" t="s">
        <v>64</v>
      </c>
      <c r="N35" s="2" t="s">
        <v>65</v>
      </c>
    </row>
    <row r="36" ht="22.5" customHeight="1">
      <c r="A36" s="14"/>
      <c r="B36" s="8" t="s">
        <v>66</v>
      </c>
      <c r="C36" s="8" t="s">
        <v>67</v>
      </c>
      <c r="D36" s="10" t="s">
        <v>19</v>
      </c>
      <c r="E36" s="11" t="str">
        <f>IMAGE("https://flagcdn.com/w320/no.png")</f>
        <v>#REF!</v>
      </c>
      <c r="F36" s="12">
        <v>25113.0</v>
      </c>
      <c r="G36" s="13">
        <f>DATEDIF(F36,TODAY(),"Y")</f>
        <v>57</v>
      </c>
      <c r="H36" s="34">
        <f>L36+M36+N36</f>
        <v>7</v>
      </c>
      <c r="I36" s="34">
        <f>(3*L36)+M36</f>
        <v>6</v>
      </c>
      <c r="J36" s="34">
        <f>2+2+1+2+2+3</f>
        <v>12</v>
      </c>
      <c r="K36" s="34">
        <f>2+2+3+1+3+2+1</f>
        <v>14</v>
      </c>
      <c r="L36" s="35">
        <f>1</f>
        <v>1</v>
      </c>
      <c r="M36" s="36">
        <f t="shared" ref="M36:N36" si="14">1+1+1</f>
        <v>3</v>
      </c>
      <c r="N36" s="37">
        <f t="shared" si="14"/>
        <v>3</v>
      </c>
    </row>
    <row r="37">
      <c r="A37" s="27"/>
      <c r="B37" s="28"/>
      <c r="C37" s="28"/>
      <c r="D37" s="29"/>
      <c r="E37" s="30"/>
      <c r="F37" s="31"/>
      <c r="G37" s="28"/>
      <c r="H37" s="27">
        <f>SUM(trenerBodo[mecze])</f>
        <v>7</v>
      </c>
      <c r="I37" s="27">
        <f>SUM(trenerBodo[punkty])</f>
        <v>6</v>
      </c>
      <c r="J37" s="27">
        <f>SUM(trenerBodo[strzelone])</f>
        <v>12</v>
      </c>
      <c r="K37" s="27">
        <f>SUM(trenerBodo[stracone])</f>
        <v>14</v>
      </c>
      <c r="L37" s="27">
        <f>SUM(trenerBodo[wygrane])</f>
        <v>1</v>
      </c>
      <c r="M37" s="27">
        <f>SUM(trenerBodo[remisy])</f>
        <v>3</v>
      </c>
      <c r="N37" s="27">
        <f>SUM(trenerBodo[porażki])</f>
        <v>3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22.5" customHeight="1">
      <c r="A38" s="1" t="s">
        <v>68</v>
      </c>
      <c r="B38" s="1" t="s">
        <v>69</v>
      </c>
      <c r="C38" s="1" t="s">
        <v>70</v>
      </c>
      <c r="D38" s="5" t="s">
        <v>71</v>
      </c>
      <c r="E38" s="1" t="s">
        <v>72</v>
      </c>
      <c r="F38" s="1" t="s">
        <v>73</v>
      </c>
    </row>
    <row r="39" ht="22.5" customHeight="1">
      <c r="A39" s="38">
        <v>1.0</v>
      </c>
      <c r="B39" s="39" t="s">
        <v>74</v>
      </c>
      <c r="C39" s="39" t="s">
        <v>75</v>
      </c>
      <c r="D39" s="40" t="s">
        <v>76</v>
      </c>
      <c r="E39" s="41">
        <v>45690.0</v>
      </c>
      <c r="F39" s="39" t="s">
        <v>77</v>
      </c>
    </row>
    <row r="40" ht="22.5" customHeight="1">
      <c r="A40" s="38">
        <v>2.0</v>
      </c>
      <c r="B40" s="39" t="s">
        <v>75</v>
      </c>
      <c r="C40" s="39" t="s">
        <v>78</v>
      </c>
      <c r="D40" s="40" t="s">
        <v>79</v>
      </c>
      <c r="E40" s="41">
        <v>45690.0</v>
      </c>
      <c r="F40" s="39" t="s">
        <v>80</v>
      </c>
    </row>
    <row r="41" ht="22.5" customHeight="1">
      <c r="A41" s="42">
        <v>3.0</v>
      </c>
      <c r="B41" s="43" t="s">
        <v>81</v>
      </c>
      <c r="C41" s="43" t="s">
        <v>75</v>
      </c>
      <c r="D41" s="44" t="s">
        <v>82</v>
      </c>
      <c r="E41" s="45">
        <v>45717.0</v>
      </c>
      <c r="F41" s="43" t="s">
        <v>83</v>
      </c>
    </row>
    <row r="42" ht="22.5" customHeight="1">
      <c r="A42" s="42">
        <v>4.0</v>
      </c>
      <c r="B42" s="43" t="s">
        <v>75</v>
      </c>
      <c r="C42" s="43" t="s">
        <v>84</v>
      </c>
      <c r="D42" s="46"/>
      <c r="E42" s="47" t="s">
        <v>85</v>
      </c>
      <c r="F42" s="43" t="s">
        <v>80</v>
      </c>
    </row>
    <row r="43" ht="22.5" customHeight="1">
      <c r="A43" s="42">
        <v>5.0</v>
      </c>
      <c r="B43" s="43" t="s">
        <v>75</v>
      </c>
      <c r="C43" s="43" t="s">
        <v>86</v>
      </c>
      <c r="D43" s="44" t="s">
        <v>87</v>
      </c>
      <c r="E43" s="45">
        <v>45691.0</v>
      </c>
      <c r="F43" s="43" t="s">
        <v>80</v>
      </c>
    </row>
    <row r="44" ht="22.5" customHeight="1">
      <c r="A44" s="38">
        <v>6.0</v>
      </c>
      <c r="B44" s="39" t="s">
        <v>88</v>
      </c>
      <c r="C44" s="39" t="s">
        <v>75</v>
      </c>
      <c r="D44" s="40" t="s">
        <v>89</v>
      </c>
      <c r="E44" s="41">
        <v>45690.0</v>
      </c>
      <c r="F44" s="39" t="s">
        <v>90</v>
      </c>
    </row>
    <row r="45" ht="22.5" customHeight="1">
      <c r="A45" s="48">
        <v>7.0</v>
      </c>
      <c r="B45" s="49" t="s">
        <v>75</v>
      </c>
      <c r="C45" s="49" t="s">
        <v>91</v>
      </c>
      <c r="D45" s="50" t="s">
        <v>92</v>
      </c>
      <c r="E45" s="51">
        <v>46082.0</v>
      </c>
      <c r="F45" s="49" t="s">
        <v>80</v>
      </c>
    </row>
    <row r="46" ht="22.5" customHeight="1">
      <c r="A46" s="52">
        <v>8.0</v>
      </c>
      <c r="B46" s="53" t="s">
        <v>93</v>
      </c>
      <c r="C46" s="53" t="s">
        <v>75</v>
      </c>
      <c r="D46" s="54"/>
      <c r="E46" s="55"/>
      <c r="F46" s="56" t="s">
        <v>94</v>
      </c>
    </row>
    <row r="47">
      <c r="A47" s="57"/>
      <c r="D47" s="58"/>
      <c r="E47" s="59"/>
      <c r="F47" s="60"/>
    </row>
    <row r="48">
      <c r="A48" s="57"/>
      <c r="D48" s="58"/>
      <c r="E48" s="59"/>
      <c r="F48" s="60"/>
    </row>
    <row r="49">
      <c r="A49" s="57"/>
      <c r="D49" s="58"/>
      <c r="E49" s="59"/>
      <c r="F49" s="60"/>
    </row>
    <row r="50">
      <c r="A50" s="57"/>
      <c r="D50" s="58"/>
      <c r="E50" s="59"/>
      <c r="F50" s="60"/>
    </row>
    <row r="51">
      <c r="A51" s="57"/>
      <c r="D51" s="58"/>
      <c r="E51" s="59"/>
      <c r="F51" s="60"/>
    </row>
    <row r="52">
      <c r="A52" s="57"/>
      <c r="D52" s="58"/>
      <c r="E52" s="59"/>
      <c r="F52" s="60"/>
    </row>
    <row r="53">
      <c r="A53" s="57"/>
      <c r="D53" s="58"/>
      <c r="E53" s="59"/>
      <c r="F53" s="60"/>
    </row>
    <row r="54">
      <c r="A54" s="57"/>
      <c r="D54" s="58"/>
      <c r="E54" s="59"/>
      <c r="F54" s="60"/>
    </row>
    <row r="55">
      <c r="A55" s="57"/>
      <c r="D55" s="58"/>
      <c r="E55" s="59"/>
      <c r="F55" s="60"/>
    </row>
    <row r="56">
      <c r="A56" s="57"/>
      <c r="D56" s="58"/>
      <c r="E56" s="59"/>
      <c r="F56" s="60"/>
    </row>
    <row r="57">
      <c r="A57" s="57"/>
      <c r="D57" s="58"/>
      <c r="E57" s="59"/>
      <c r="F57" s="60"/>
    </row>
    <row r="58">
      <c r="A58" s="57"/>
      <c r="D58" s="58"/>
      <c r="E58" s="59"/>
      <c r="F58" s="60"/>
    </row>
    <row r="59">
      <c r="A59" s="57"/>
      <c r="D59" s="58"/>
      <c r="E59" s="59"/>
      <c r="F59" s="60"/>
    </row>
    <row r="60">
      <c r="A60" s="57"/>
      <c r="D60" s="58"/>
      <c r="E60" s="59"/>
      <c r="F60" s="60"/>
    </row>
    <row r="61">
      <c r="A61" s="57"/>
      <c r="D61" s="58"/>
      <c r="E61" s="59"/>
      <c r="F61" s="60"/>
    </row>
    <row r="62">
      <c r="A62" s="57"/>
      <c r="D62" s="58"/>
      <c r="E62" s="59"/>
      <c r="F62" s="60"/>
    </row>
    <row r="63">
      <c r="A63" s="57"/>
      <c r="D63" s="58"/>
      <c r="E63" s="59"/>
      <c r="F63" s="60"/>
    </row>
    <row r="64">
      <c r="A64" s="57"/>
      <c r="D64" s="58"/>
      <c r="E64" s="59"/>
      <c r="F64" s="60"/>
    </row>
    <row r="65">
      <c r="A65" s="57"/>
      <c r="D65" s="58"/>
      <c r="E65" s="59"/>
      <c r="F65" s="60"/>
    </row>
    <row r="66">
      <c r="A66" s="57"/>
      <c r="D66" s="58"/>
      <c r="E66" s="59"/>
      <c r="F66" s="60"/>
    </row>
    <row r="67">
      <c r="A67" s="57"/>
      <c r="D67" s="58"/>
      <c r="E67" s="59"/>
      <c r="F67" s="60"/>
    </row>
    <row r="68">
      <c r="A68" s="57"/>
      <c r="D68" s="58"/>
      <c r="E68" s="59"/>
      <c r="F68" s="60"/>
    </row>
    <row r="69">
      <c r="A69" s="57"/>
      <c r="D69" s="58"/>
      <c r="E69" s="59"/>
      <c r="F69" s="60"/>
    </row>
    <row r="70">
      <c r="A70" s="57"/>
      <c r="D70" s="58"/>
      <c r="E70" s="59"/>
      <c r="F70" s="60"/>
    </row>
    <row r="71">
      <c r="A71" s="57"/>
      <c r="D71" s="58"/>
      <c r="E71" s="59"/>
      <c r="F71" s="60"/>
    </row>
    <row r="72">
      <c r="A72" s="57"/>
      <c r="D72" s="58"/>
      <c r="E72" s="59"/>
      <c r="F72" s="60"/>
    </row>
    <row r="73">
      <c r="A73" s="57"/>
      <c r="D73" s="58"/>
      <c r="E73" s="59"/>
      <c r="F73" s="60"/>
    </row>
    <row r="74">
      <c r="A74" s="57"/>
      <c r="D74" s="58"/>
      <c r="E74" s="59"/>
      <c r="F74" s="60"/>
    </row>
    <row r="75">
      <c r="A75" s="57"/>
      <c r="D75" s="58"/>
      <c r="E75" s="59"/>
      <c r="F75" s="60"/>
    </row>
    <row r="76">
      <c r="A76" s="57"/>
      <c r="D76" s="58"/>
      <c r="E76" s="59"/>
      <c r="F76" s="60"/>
    </row>
    <row r="77">
      <c r="A77" s="57"/>
      <c r="D77" s="58"/>
      <c r="E77" s="59"/>
      <c r="F77" s="60"/>
    </row>
    <row r="78">
      <c r="A78" s="57"/>
      <c r="D78" s="58"/>
      <c r="E78" s="59"/>
      <c r="F78" s="60"/>
    </row>
    <row r="79">
      <c r="A79" s="57"/>
      <c r="D79" s="58"/>
      <c r="E79" s="59"/>
      <c r="F79" s="60"/>
    </row>
    <row r="80">
      <c r="A80" s="57"/>
      <c r="D80" s="58"/>
      <c r="E80" s="59"/>
      <c r="F80" s="60"/>
    </row>
    <row r="81">
      <c r="A81" s="57"/>
      <c r="D81" s="58"/>
      <c r="E81" s="59"/>
      <c r="F81" s="60"/>
    </row>
    <row r="82">
      <c r="A82" s="57"/>
      <c r="D82" s="58"/>
      <c r="E82" s="59"/>
      <c r="F82" s="60"/>
    </row>
    <row r="83">
      <c r="A83" s="57"/>
      <c r="D83" s="58"/>
      <c r="E83" s="59"/>
      <c r="F83" s="60"/>
    </row>
    <row r="84">
      <c r="A84" s="57"/>
      <c r="D84" s="58"/>
      <c r="E84" s="59"/>
      <c r="F84" s="60"/>
    </row>
    <row r="85">
      <c r="A85" s="57"/>
      <c r="D85" s="58"/>
      <c r="E85" s="59"/>
      <c r="F85" s="60"/>
    </row>
    <row r="86">
      <c r="A86" s="57"/>
      <c r="D86" s="58"/>
      <c r="E86" s="59"/>
      <c r="F86" s="60"/>
    </row>
    <row r="87">
      <c r="A87" s="57"/>
      <c r="D87" s="58"/>
      <c r="E87" s="59"/>
      <c r="F87" s="60"/>
    </row>
    <row r="88">
      <c r="A88" s="57"/>
      <c r="D88" s="58"/>
      <c r="E88" s="59"/>
      <c r="F88" s="60"/>
    </row>
    <row r="89">
      <c r="A89" s="57"/>
      <c r="D89" s="58"/>
      <c r="E89" s="59"/>
      <c r="F89" s="60"/>
    </row>
    <row r="90">
      <c r="A90" s="57"/>
      <c r="D90" s="58"/>
      <c r="E90" s="59"/>
      <c r="F90" s="60"/>
    </row>
    <row r="91">
      <c r="A91" s="57"/>
      <c r="D91" s="58"/>
      <c r="E91" s="59"/>
      <c r="F91" s="60"/>
    </row>
    <row r="92">
      <c r="A92" s="57"/>
      <c r="D92" s="58"/>
      <c r="E92" s="59"/>
      <c r="F92" s="60"/>
    </row>
    <row r="93">
      <c r="A93" s="57"/>
      <c r="D93" s="58"/>
      <c r="E93" s="59"/>
      <c r="F93" s="60"/>
    </row>
    <row r="94">
      <c r="A94" s="57"/>
      <c r="D94" s="58"/>
      <c r="E94" s="59"/>
      <c r="F94" s="60"/>
    </row>
    <row r="95">
      <c r="A95" s="57"/>
      <c r="D95" s="58"/>
      <c r="E95" s="59"/>
      <c r="F95" s="60"/>
    </row>
    <row r="96">
      <c r="A96" s="57"/>
      <c r="D96" s="58"/>
      <c r="E96" s="59"/>
      <c r="F96" s="60"/>
    </row>
    <row r="97">
      <c r="A97" s="57"/>
      <c r="D97" s="58"/>
      <c r="E97" s="59"/>
      <c r="F97" s="60"/>
    </row>
    <row r="98">
      <c r="A98" s="57"/>
      <c r="D98" s="58"/>
      <c r="E98" s="59"/>
      <c r="F98" s="60"/>
    </row>
    <row r="99">
      <c r="A99" s="57"/>
      <c r="D99" s="58"/>
      <c r="E99" s="59"/>
      <c r="F99" s="60"/>
    </row>
    <row r="100">
      <c r="A100" s="57"/>
      <c r="D100" s="58"/>
      <c r="E100" s="59"/>
      <c r="F100" s="60"/>
    </row>
    <row r="101">
      <c r="A101" s="57"/>
      <c r="D101" s="58"/>
      <c r="E101" s="59"/>
      <c r="F101" s="60"/>
    </row>
    <row r="102">
      <c r="A102" s="57"/>
      <c r="D102" s="58"/>
      <c r="E102" s="59"/>
      <c r="F102" s="60"/>
    </row>
    <row r="103">
      <c r="A103" s="57"/>
      <c r="D103" s="58"/>
      <c r="E103" s="59"/>
      <c r="F103" s="60"/>
    </row>
    <row r="104">
      <c r="A104" s="57"/>
      <c r="D104" s="58"/>
      <c r="E104" s="59"/>
      <c r="F104" s="60"/>
    </row>
    <row r="105">
      <c r="A105" s="57"/>
      <c r="D105" s="58"/>
      <c r="E105" s="59"/>
      <c r="F105" s="60"/>
    </row>
    <row r="106">
      <c r="A106" s="57"/>
      <c r="D106" s="58"/>
      <c r="E106" s="59"/>
      <c r="F106" s="60"/>
    </row>
    <row r="107">
      <c r="A107" s="57"/>
      <c r="D107" s="58"/>
      <c r="E107" s="59"/>
      <c r="F107" s="60"/>
    </row>
    <row r="108">
      <c r="A108" s="57"/>
      <c r="D108" s="58"/>
      <c r="E108" s="59"/>
      <c r="F108" s="60"/>
    </row>
    <row r="109">
      <c r="A109" s="57"/>
      <c r="D109" s="58"/>
      <c r="E109" s="59"/>
      <c r="F109" s="60"/>
    </row>
    <row r="110">
      <c r="A110" s="57"/>
      <c r="D110" s="58"/>
      <c r="E110" s="59"/>
      <c r="F110" s="60"/>
    </row>
    <row r="111">
      <c r="A111" s="57"/>
      <c r="D111" s="58"/>
      <c r="E111" s="59"/>
      <c r="F111" s="60"/>
    </row>
    <row r="112">
      <c r="A112" s="57"/>
      <c r="D112" s="58"/>
      <c r="E112" s="59"/>
      <c r="F112" s="60"/>
    </row>
    <row r="113">
      <c r="A113" s="57"/>
      <c r="D113" s="58"/>
      <c r="E113" s="59"/>
      <c r="F113" s="60"/>
    </row>
    <row r="114">
      <c r="A114" s="57"/>
      <c r="D114" s="58"/>
      <c r="E114" s="59"/>
      <c r="F114" s="60"/>
    </row>
    <row r="115">
      <c r="A115" s="57"/>
      <c r="D115" s="58"/>
      <c r="E115" s="59"/>
      <c r="F115" s="60"/>
    </row>
    <row r="116">
      <c r="A116" s="57"/>
      <c r="D116" s="58"/>
      <c r="E116" s="59"/>
      <c r="F116" s="60"/>
    </row>
    <row r="117">
      <c r="A117" s="57"/>
      <c r="D117" s="58"/>
      <c r="E117" s="59"/>
      <c r="F117" s="60"/>
    </row>
    <row r="118">
      <c r="A118" s="57"/>
      <c r="D118" s="58"/>
      <c r="E118" s="59"/>
      <c r="F118" s="60"/>
    </row>
    <row r="119">
      <c r="A119" s="57"/>
      <c r="D119" s="58"/>
      <c r="E119" s="59"/>
      <c r="F119" s="60"/>
    </row>
    <row r="120">
      <c r="A120" s="57"/>
      <c r="D120" s="58"/>
      <c r="E120" s="59"/>
      <c r="F120" s="60"/>
    </row>
    <row r="121">
      <c r="A121" s="57"/>
      <c r="D121" s="58"/>
      <c r="E121" s="59"/>
      <c r="F121" s="60"/>
    </row>
    <row r="122">
      <c r="A122" s="57"/>
      <c r="D122" s="58"/>
      <c r="E122" s="59"/>
      <c r="F122" s="60"/>
    </row>
    <row r="123">
      <c r="A123" s="57"/>
      <c r="D123" s="58"/>
      <c r="E123" s="59"/>
      <c r="F123" s="60"/>
    </row>
    <row r="124">
      <c r="A124" s="57"/>
      <c r="D124" s="58"/>
      <c r="E124" s="59"/>
      <c r="F124" s="60"/>
    </row>
    <row r="125">
      <c r="A125" s="57"/>
      <c r="D125" s="58"/>
      <c r="E125" s="59"/>
      <c r="F125" s="60"/>
    </row>
    <row r="126">
      <c r="A126" s="57"/>
      <c r="D126" s="58"/>
      <c r="E126" s="59"/>
      <c r="F126" s="60"/>
    </row>
    <row r="127">
      <c r="A127" s="57"/>
      <c r="D127" s="58"/>
      <c r="E127" s="59"/>
      <c r="F127" s="60"/>
    </row>
    <row r="128">
      <c r="A128" s="57"/>
      <c r="D128" s="58"/>
      <c r="E128" s="59"/>
      <c r="F128" s="60"/>
    </row>
    <row r="129">
      <c r="A129" s="57"/>
      <c r="D129" s="58"/>
      <c r="E129" s="59"/>
      <c r="F129" s="60"/>
    </row>
    <row r="130">
      <c r="A130" s="57"/>
      <c r="D130" s="58"/>
      <c r="E130" s="59"/>
      <c r="F130" s="60"/>
    </row>
    <row r="131">
      <c r="A131" s="57"/>
      <c r="D131" s="58"/>
      <c r="E131" s="59"/>
      <c r="F131" s="60"/>
    </row>
    <row r="132">
      <c r="A132" s="57"/>
      <c r="D132" s="58"/>
      <c r="E132" s="59"/>
      <c r="F132" s="60"/>
    </row>
    <row r="133">
      <c r="A133" s="57"/>
      <c r="D133" s="58"/>
      <c r="E133" s="59"/>
      <c r="F133" s="60"/>
    </row>
    <row r="134">
      <c r="A134" s="57"/>
      <c r="D134" s="58"/>
      <c r="E134" s="59"/>
      <c r="F134" s="60"/>
    </row>
    <row r="135">
      <c r="A135" s="57"/>
      <c r="D135" s="58"/>
      <c r="E135" s="59"/>
      <c r="F135" s="60"/>
    </row>
    <row r="136">
      <c r="A136" s="57"/>
      <c r="D136" s="58"/>
      <c r="E136" s="59"/>
      <c r="F136" s="60"/>
    </row>
    <row r="137">
      <c r="A137" s="57"/>
      <c r="D137" s="58"/>
      <c r="E137" s="59"/>
      <c r="F137" s="60"/>
    </row>
    <row r="138">
      <c r="A138" s="57"/>
      <c r="D138" s="58"/>
      <c r="E138" s="59"/>
      <c r="F138" s="60"/>
    </row>
    <row r="139">
      <c r="A139" s="57"/>
      <c r="D139" s="58"/>
      <c r="E139" s="59"/>
      <c r="F139" s="60"/>
    </row>
    <row r="140">
      <c r="A140" s="57"/>
      <c r="D140" s="58"/>
      <c r="E140" s="59"/>
      <c r="F140" s="60"/>
    </row>
    <row r="141">
      <c r="A141" s="57"/>
      <c r="D141" s="58"/>
      <c r="E141" s="59"/>
      <c r="F141" s="60"/>
    </row>
    <row r="142">
      <c r="A142" s="57"/>
      <c r="D142" s="58"/>
      <c r="E142" s="59"/>
      <c r="F142" s="60"/>
    </row>
    <row r="143">
      <c r="A143" s="57"/>
      <c r="D143" s="58"/>
      <c r="E143" s="59"/>
      <c r="F143" s="60"/>
    </row>
    <row r="144">
      <c r="A144" s="57"/>
      <c r="D144" s="58"/>
      <c r="E144" s="59"/>
      <c r="F144" s="60"/>
    </row>
    <row r="145">
      <c r="A145" s="57"/>
      <c r="D145" s="58"/>
      <c r="E145" s="59"/>
      <c r="F145" s="60"/>
    </row>
    <row r="146">
      <c r="A146" s="57"/>
      <c r="D146" s="58"/>
      <c r="E146" s="59"/>
      <c r="F146" s="60"/>
    </row>
    <row r="147">
      <c r="A147" s="57"/>
      <c r="D147" s="58"/>
      <c r="E147" s="59"/>
      <c r="F147" s="60"/>
    </row>
    <row r="148">
      <c r="A148" s="57"/>
      <c r="D148" s="58"/>
      <c r="E148" s="59"/>
      <c r="F148" s="60"/>
    </row>
    <row r="149">
      <c r="A149" s="57"/>
      <c r="D149" s="58"/>
      <c r="E149" s="59"/>
      <c r="F149" s="60"/>
    </row>
    <row r="150">
      <c r="A150" s="57"/>
      <c r="D150" s="58"/>
      <c r="E150" s="59"/>
      <c r="F150" s="60"/>
    </row>
    <row r="151">
      <c r="A151" s="57"/>
      <c r="D151" s="58"/>
      <c r="E151" s="59"/>
      <c r="F151" s="60"/>
    </row>
    <row r="152">
      <c r="A152" s="57"/>
      <c r="D152" s="58"/>
      <c r="E152" s="59"/>
      <c r="F152" s="60"/>
    </row>
    <row r="153">
      <c r="A153" s="57"/>
      <c r="D153" s="58"/>
      <c r="E153" s="59"/>
      <c r="F153" s="60"/>
    </row>
    <row r="154">
      <c r="A154" s="57"/>
      <c r="D154" s="58"/>
      <c r="E154" s="59"/>
      <c r="F154" s="60"/>
    </row>
    <row r="155">
      <c r="A155" s="57"/>
      <c r="D155" s="58"/>
      <c r="E155" s="59"/>
      <c r="F155" s="60"/>
    </row>
    <row r="156">
      <c r="A156" s="57"/>
      <c r="D156" s="58"/>
      <c r="E156" s="59"/>
      <c r="F156" s="60"/>
    </row>
    <row r="157">
      <c r="A157" s="57"/>
      <c r="D157" s="58"/>
      <c r="E157" s="59"/>
      <c r="F157" s="60"/>
    </row>
    <row r="158">
      <c r="A158" s="57"/>
      <c r="D158" s="58"/>
      <c r="E158" s="59"/>
      <c r="F158" s="60"/>
    </row>
    <row r="159">
      <c r="A159" s="57"/>
      <c r="D159" s="58"/>
      <c r="E159" s="59"/>
      <c r="F159" s="60"/>
    </row>
    <row r="160">
      <c r="A160" s="57"/>
      <c r="D160" s="58"/>
      <c r="E160" s="59"/>
      <c r="F160" s="60"/>
    </row>
    <row r="161">
      <c r="A161" s="57"/>
      <c r="D161" s="58"/>
      <c r="E161" s="59"/>
      <c r="F161" s="60"/>
    </row>
    <row r="162">
      <c r="A162" s="57"/>
      <c r="D162" s="58"/>
      <c r="E162" s="59"/>
      <c r="F162" s="60"/>
    </row>
    <row r="163">
      <c r="A163" s="57"/>
      <c r="D163" s="58"/>
      <c r="E163" s="59"/>
      <c r="F163" s="60"/>
    </row>
    <row r="164">
      <c r="A164" s="57"/>
      <c r="D164" s="58"/>
      <c r="E164" s="59"/>
      <c r="F164" s="60"/>
    </row>
    <row r="165">
      <c r="A165" s="57"/>
      <c r="D165" s="58"/>
      <c r="E165" s="59"/>
      <c r="F165" s="60"/>
    </row>
    <row r="166">
      <c r="A166" s="57"/>
      <c r="D166" s="58"/>
      <c r="E166" s="59"/>
      <c r="F166" s="60"/>
    </row>
    <row r="167">
      <c r="A167" s="57"/>
      <c r="D167" s="58"/>
      <c r="E167" s="59"/>
      <c r="F167" s="60"/>
    </row>
    <row r="168">
      <c r="A168" s="57"/>
      <c r="D168" s="58"/>
      <c r="E168" s="59"/>
      <c r="F168" s="60"/>
    </row>
    <row r="169">
      <c r="A169" s="57"/>
      <c r="D169" s="58"/>
      <c r="E169" s="59"/>
      <c r="F169" s="60"/>
    </row>
    <row r="170">
      <c r="A170" s="57"/>
      <c r="D170" s="58"/>
      <c r="E170" s="59"/>
      <c r="F170" s="60"/>
    </row>
    <row r="171">
      <c r="A171" s="57"/>
      <c r="D171" s="58"/>
      <c r="E171" s="59"/>
      <c r="F171" s="60"/>
    </row>
    <row r="172">
      <c r="A172" s="57"/>
      <c r="D172" s="58"/>
      <c r="E172" s="59"/>
      <c r="F172" s="60"/>
    </row>
    <row r="173">
      <c r="A173" s="57"/>
      <c r="D173" s="58"/>
      <c r="E173" s="59"/>
      <c r="F173" s="60"/>
    </row>
    <row r="174">
      <c r="A174" s="57"/>
      <c r="D174" s="58"/>
      <c r="E174" s="59"/>
      <c r="F174" s="60"/>
    </row>
    <row r="175">
      <c r="A175" s="57"/>
      <c r="D175" s="58"/>
      <c r="E175" s="59"/>
      <c r="F175" s="60"/>
    </row>
    <row r="176">
      <c r="A176" s="57"/>
      <c r="D176" s="58"/>
      <c r="E176" s="59"/>
      <c r="F176" s="60"/>
    </row>
    <row r="177">
      <c r="A177" s="57"/>
      <c r="D177" s="58"/>
      <c r="E177" s="59"/>
      <c r="F177" s="60"/>
    </row>
    <row r="178">
      <c r="A178" s="57"/>
      <c r="D178" s="58"/>
      <c r="E178" s="59"/>
      <c r="F178" s="60"/>
    </row>
    <row r="179">
      <c r="A179" s="57"/>
      <c r="D179" s="58"/>
      <c r="E179" s="59"/>
      <c r="F179" s="60"/>
    </row>
    <row r="180">
      <c r="A180" s="57"/>
      <c r="D180" s="58"/>
      <c r="E180" s="59"/>
      <c r="F180" s="60"/>
    </row>
    <row r="181">
      <c r="A181" s="57"/>
      <c r="D181" s="58"/>
      <c r="E181" s="59"/>
      <c r="F181" s="60"/>
    </row>
    <row r="182">
      <c r="A182" s="57"/>
      <c r="D182" s="58"/>
      <c r="E182" s="59"/>
      <c r="F182" s="60"/>
    </row>
    <row r="183">
      <c r="A183" s="57"/>
      <c r="D183" s="58"/>
      <c r="E183" s="59"/>
      <c r="F183" s="60"/>
    </row>
    <row r="184">
      <c r="A184" s="57"/>
      <c r="D184" s="58"/>
      <c r="E184" s="59"/>
      <c r="F184" s="60"/>
    </row>
    <row r="185">
      <c r="A185" s="57"/>
      <c r="D185" s="58"/>
      <c r="E185" s="59"/>
      <c r="F185" s="60"/>
    </row>
    <row r="186">
      <c r="A186" s="57"/>
      <c r="D186" s="58"/>
      <c r="E186" s="59"/>
      <c r="F186" s="60"/>
    </row>
    <row r="187">
      <c r="A187" s="57"/>
      <c r="D187" s="58"/>
      <c r="E187" s="59"/>
      <c r="F187" s="60"/>
    </row>
    <row r="188">
      <c r="A188" s="57"/>
      <c r="D188" s="58"/>
      <c r="E188" s="59"/>
      <c r="F188" s="60"/>
    </row>
    <row r="189">
      <c r="A189" s="57"/>
      <c r="D189" s="58"/>
      <c r="E189" s="59"/>
      <c r="F189" s="60"/>
    </row>
    <row r="190">
      <c r="A190" s="57"/>
      <c r="D190" s="58"/>
      <c r="E190" s="59"/>
      <c r="F190" s="60"/>
    </row>
    <row r="191">
      <c r="A191" s="57"/>
      <c r="D191" s="58"/>
      <c r="E191" s="59"/>
      <c r="F191" s="60"/>
    </row>
    <row r="192">
      <c r="A192" s="57"/>
      <c r="D192" s="58"/>
      <c r="E192" s="59"/>
      <c r="F192" s="60"/>
    </row>
    <row r="193">
      <c r="A193" s="57"/>
      <c r="D193" s="58"/>
      <c r="E193" s="59"/>
      <c r="F193" s="60"/>
    </row>
    <row r="194">
      <c r="A194" s="57"/>
      <c r="D194" s="58"/>
      <c r="E194" s="59"/>
      <c r="F194" s="60"/>
    </row>
    <row r="195">
      <c r="A195" s="57"/>
      <c r="D195" s="58"/>
      <c r="E195" s="59"/>
      <c r="F195" s="60"/>
    </row>
    <row r="196">
      <c r="A196" s="57"/>
      <c r="D196" s="58"/>
      <c r="E196" s="59"/>
      <c r="F196" s="60"/>
    </row>
    <row r="197">
      <c r="A197" s="57"/>
      <c r="D197" s="58"/>
      <c r="E197" s="59"/>
      <c r="F197" s="60"/>
    </row>
    <row r="198">
      <c r="A198" s="57"/>
      <c r="D198" s="58"/>
      <c r="E198" s="59"/>
      <c r="F198" s="60"/>
    </row>
    <row r="199">
      <c r="A199" s="57"/>
      <c r="D199" s="58"/>
      <c r="E199" s="59"/>
      <c r="F199" s="60"/>
    </row>
    <row r="200">
      <c r="A200" s="57"/>
      <c r="D200" s="58"/>
      <c r="E200" s="59"/>
      <c r="F200" s="60"/>
    </row>
    <row r="201">
      <c r="A201" s="57"/>
      <c r="D201" s="58"/>
      <c r="E201" s="59"/>
      <c r="F201" s="60"/>
    </row>
    <row r="202">
      <c r="A202" s="57"/>
      <c r="D202" s="58"/>
      <c r="E202" s="59"/>
      <c r="F202" s="60"/>
    </row>
    <row r="203">
      <c r="A203" s="57"/>
      <c r="D203" s="58"/>
      <c r="E203" s="59"/>
      <c r="F203" s="60"/>
    </row>
    <row r="204">
      <c r="A204" s="57"/>
      <c r="D204" s="58"/>
      <c r="E204" s="59"/>
      <c r="F204" s="60"/>
    </row>
    <row r="205">
      <c r="A205" s="57"/>
      <c r="D205" s="58"/>
      <c r="E205" s="59"/>
      <c r="F205" s="60"/>
    </row>
    <row r="206">
      <c r="A206" s="57"/>
      <c r="D206" s="58"/>
      <c r="E206" s="59"/>
      <c r="F206" s="60"/>
    </row>
    <row r="207">
      <c r="A207" s="57"/>
      <c r="D207" s="58"/>
      <c r="E207" s="59"/>
      <c r="F207" s="60"/>
    </row>
    <row r="208">
      <c r="A208" s="57"/>
      <c r="D208" s="58"/>
      <c r="E208" s="59"/>
      <c r="F208" s="60"/>
    </row>
    <row r="209">
      <c r="A209" s="57"/>
      <c r="D209" s="58"/>
      <c r="E209" s="59"/>
      <c r="F209" s="60"/>
    </row>
    <row r="210">
      <c r="A210" s="57"/>
      <c r="D210" s="58"/>
      <c r="E210" s="59"/>
      <c r="F210" s="60"/>
    </row>
    <row r="211">
      <c r="A211" s="57"/>
      <c r="D211" s="58"/>
      <c r="E211" s="59"/>
      <c r="F211" s="60"/>
    </row>
    <row r="212">
      <c r="A212" s="57"/>
      <c r="D212" s="58"/>
      <c r="E212" s="59"/>
      <c r="F212" s="60"/>
    </row>
    <row r="213">
      <c r="A213" s="57"/>
      <c r="D213" s="58"/>
      <c r="E213" s="59"/>
      <c r="F213" s="60"/>
    </row>
    <row r="214">
      <c r="A214" s="57"/>
      <c r="D214" s="58"/>
      <c r="E214" s="59"/>
      <c r="F214" s="60"/>
    </row>
    <row r="215">
      <c r="A215" s="57"/>
      <c r="D215" s="58"/>
      <c r="E215" s="59"/>
      <c r="F215" s="60"/>
    </row>
    <row r="216">
      <c r="A216" s="57"/>
      <c r="D216" s="58"/>
      <c r="E216" s="59"/>
      <c r="F216" s="60"/>
    </row>
    <row r="217">
      <c r="A217" s="57"/>
      <c r="D217" s="58"/>
      <c r="E217" s="59"/>
      <c r="F217" s="60"/>
    </row>
    <row r="218">
      <c r="A218" s="57"/>
      <c r="D218" s="58"/>
      <c r="E218" s="59"/>
      <c r="F218" s="60"/>
    </row>
    <row r="219">
      <c r="A219" s="57"/>
      <c r="D219" s="58"/>
      <c r="E219" s="59"/>
      <c r="F219" s="60"/>
    </row>
    <row r="220">
      <c r="A220" s="57"/>
      <c r="D220" s="58"/>
      <c r="E220" s="59"/>
      <c r="F220" s="60"/>
    </row>
    <row r="221">
      <c r="A221" s="57"/>
      <c r="D221" s="58"/>
      <c r="E221" s="59"/>
      <c r="F221" s="60"/>
    </row>
    <row r="222">
      <c r="A222" s="57"/>
      <c r="D222" s="58"/>
      <c r="E222" s="59"/>
      <c r="F222" s="60"/>
    </row>
    <row r="223">
      <c r="A223" s="57"/>
      <c r="D223" s="58"/>
      <c r="E223" s="59"/>
      <c r="F223" s="60"/>
    </row>
    <row r="224">
      <c r="A224" s="57"/>
      <c r="D224" s="58"/>
      <c r="E224" s="59"/>
      <c r="F224" s="60"/>
    </row>
    <row r="225">
      <c r="A225" s="57"/>
      <c r="D225" s="58"/>
      <c r="E225" s="59"/>
      <c r="F225" s="60"/>
    </row>
    <row r="226">
      <c r="A226" s="57"/>
      <c r="D226" s="58"/>
      <c r="E226" s="59"/>
      <c r="F226" s="60"/>
    </row>
    <row r="227">
      <c r="A227" s="57"/>
      <c r="D227" s="58"/>
      <c r="E227" s="59"/>
      <c r="F227" s="60"/>
    </row>
    <row r="228">
      <c r="A228" s="57"/>
      <c r="D228" s="58"/>
      <c r="E228" s="59"/>
      <c r="F228" s="60"/>
    </row>
    <row r="229">
      <c r="A229" s="57"/>
      <c r="D229" s="58"/>
      <c r="E229" s="59"/>
      <c r="F229" s="60"/>
    </row>
    <row r="230">
      <c r="A230" s="57"/>
      <c r="D230" s="58"/>
      <c r="E230" s="59"/>
      <c r="F230" s="60"/>
    </row>
    <row r="231">
      <c r="A231" s="57"/>
      <c r="D231" s="58"/>
      <c r="E231" s="59"/>
      <c r="F231" s="60"/>
    </row>
    <row r="232">
      <c r="A232" s="57"/>
      <c r="D232" s="58"/>
      <c r="E232" s="59"/>
      <c r="F232" s="60"/>
    </row>
    <row r="233">
      <c r="A233" s="57"/>
      <c r="D233" s="58"/>
      <c r="E233" s="59"/>
      <c r="F233" s="60"/>
    </row>
    <row r="234">
      <c r="A234" s="57"/>
      <c r="D234" s="58"/>
      <c r="E234" s="59"/>
      <c r="F234" s="60"/>
    </row>
    <row r="235">
      <c r="A235" s="57"/>
      <c r="D235" s="58"/>
      <c r="E235" s="59"/>
      <c r="F235" s="60"/>
    </row>
    <row r="236">
      <c r="A236" s="57"/>
      <c r="D236" s="58"/>
      <c r="E236" s="59"/>
      <c r="F236" s="60"/>
    </row>
    <row r="237">
      <c r="A237" s="57"/>
      <c r="D237" s="58"/>
      <c r="E237" s="59"/>
      <c r="F237" s="60"/>
    </row>
    <row r="238">
      <c r="A238" s="57"/>
      <c r="D238" s="58"/>
      <c r="E238" s="59"/>
      <c r="F238" s="60"/>
    </row>
    <row r="239">
      <c r="A239" s="57"/>
      <c r="D239" s="58"/>
      <c r="E239" s="59"/>
      <c r="F239" s="60"/>
    </row>
    <row r="240">
      <c r="A240" s="57"/>
      <c r="D240" s="58"/>
      <c r="E240" s="59"/>
      <c r="F240" s="60"/>
    </row>
    <row r="241">
      <c r="A241" s="57"/>
      <c r="D241" s="58"/>
      <c r="E241" s="59"/>
      <c r="F241" s="60"/>
    </row>
    <row r="242">
      <c r="A242" s="57"/>
      <c r="D242" s="58"/>
      <c r="E242" s="59"/>
      <c r="F242" s="60"/>
    </row>
    <row r="243">
      <c r="A243" s="57"/>
      <c r="D243" s="58"/>
      <c r="E243" s="59"/>
      <c r="F243" s="60"/>
    </row>
    <row r="244">
      <c r="A244" s="57"/>
      <c r="D244" s="58"/>
      <c r="E244" s="59"/>
      <c r="F244" s="60"/>
    </row>
    <row r="245">
      <c r="A245" s="57"/>
      <c r="D245" s="58"/>
      <c r="E245" s="59"/>
      <c r="F245" s="60"/>
    </row>
    <row r="246">
      <c r="A246" s="57"/>
      <c r="D246" s="58"/>
      <c r="E246" s="59"/>
      <c r="F246" s="60"/>
    </row>
    <row r="247">
      <c r="A247" s="57"/>
      <c r="D247" s="58"/>
      <c r="E247" s="59"/>
      <c r="F247" s="60"/>
    </row>
    <row r="248">
      <c r="A248" s="57"/>
      <c r="D248" s="58"/>
      <c r="E248" s="59"/>
      <c r="F248" s="60"/>
    </row>
    <row r="249">
      <c r="A249" s="57"/>
      <c r="D249" s="58"/>
      <c r="E249" s="59"/>
      <c r="F249" s="60"/>
    </row>
    <row r="250">
      <c r="A250" s="57"/>
      <c r="D250" s="58"/>
      <c r="E250" s="59"/>
      <c r="F250" s="60"/>
    </row>
    <row r="251">
      <c r="A251" s="57"/>
      <c r="D251" s="58"/>
      <c r="E251" s="59"/>
      <c r="F251" s="60"/>
    </row>
    <row r="252">
      <c r="A252" s="57"/>
      <c r="D252" s="58"/>
      <c r="E252" s="59"/>
      <c r="F252" s="60"/>
    </row>
    <row r="253">
      <c r="A253" s="57"/>
      <c r="D253" s="58"/>
      <c r="E253" s="59"/>
      <c r="F253" s="60"/>
    </row>
    <row r="254">
      <c r="A254" s="57"/>
      <c r="D254" s="58"/>
      <c r="E254" s="59"/>
      <c r="F254" s="60"/>
    </row>
    <row r="255">
      <c r="A255" s="57"/>
      <c r="D255" s="58"/>
      <c r="E255" s="59"/>
      <c r="F255" s="60"/>
    </row>
    <row r="256">
      <c r="A256" s="57"/>
      <c r="D256" s="58"/>
      <c r="E256" s="59"/>
      <c r="F256" s="60"/>
    </row>
    <row r="257">
      <c r="A257" s="57"/>
      <c r="D257" s="58"/>
      <c r="E257" s="59"/>
      <c r="F257" s="60"/>
    </row>
    <row r="258">
      <c r="A258" s="57"/>
      <c r="D258" s="58"/>
      <c r="E258" s="59"/>
      <c r="F258" s="60"/>
    </row>
    <row r="259">
      <c r="A259" s="57"/>
      <c r="D259" s="58"/>
      <c r="E259" s="59"/>
      <c r="F259" s="60"/>
    </row>
    <row r="260">
      <c r="A260" s="57"/>
      <c r="D260" s="58"/>
      <c r="E260" s="59"/>
      <c r="F260" s="60"/>
    </row>
    <row r="261">
      <c r="A261" s="57"/>
      <c r="D261" s="58"/>
      <c r="E261" s="59"/>
      <c r="F261" s="60"/>
    </row>
    <row r="262">
      <c r="A262" s="57"/>
      <c r="D262" s="58"/>
      <c r="E262" s="59"/>
      <c r="F262" s="60"/>
    </row>
    <row r="263">
      <c r="A263" s="57"/>
      <c r="D263" s="58"/>
      <c r="E263" s="59"/>
      <c r="F263" s="60"/>
    </row>
    <row r="264">
      <c r="A264" s="57"/>
      <c r="D264" s="58"/>
      <c r="E264" s="59"/>
      <c r="F264" s="60"/>
    </row>
    <row r="265">
      <c r="A265" s="57"/>
      <c r="D265" s="58"/>
      <c r="E265" s="59"/>
      <c r="F265" s="60"/>
    </row>
    <row r="266">
      <c r="A266" s="57"/>
      <c r="D266" s="58"/>
      <c r="E266" s="59"/>
      <c r="F266" s="60"/>
    </row>
    <row r="267">
      <c r="A267" s="57"/>
      <c r="D267" s="58"/>
      <c r="E267" s="59"/>
      <c r="F267" s="60"/>
    </row>
    <row r="268">
      <c r="A268" s="57"/>
      <c r="D268" s="58"/>
      <c r="E268" s="59"/>
      <c r="F268" s="60"/>
    </row>
    <row r="269">
      <c r="A269" s="57"/>
      <c r="D269" s="58"/>
      <c r="E269" s="59"/>
      <c r="F269" s="60"/>
    </row>
    <row r="270">
      <c r="A270" s="57"/>
      <c r="D270" s="58"/>
      <c r="E270" s="59"/>
      <c r="F270" s="60"/>
    </row>
    <row r="271">
      <c r="A271" s="57"/>
      <c r="D271" s="58"/>
      <c r="E271" s="59"/>
      <c r="F271" s="60"/>
    </row>
    <row r="272">
      <c r="A272" s="57"/>
      <c r="D272" s="58"/>
      <c r="E272" s="59"/>
      <c r="F272" s="60"/>
    </row>
    <row r="273">
      <c r="A273" s="57"/>
      <c r="D273" s="58"/>
      <c r="E273" s="59"/>
      <c r="F273" s="60"/>
    </row>
    <row r="274">
      <c r="A274" s="57"/>
      <c r="D274" s="58"/>
      <c r="E274" s="59"/>
      <c r="F274" s="60"/>
    </row>
    <row r="275">
      <c r="A275" s="57"/>
      <c r="D275" s="58"/>
      <c r="E275" s="59"/>
      <c r="F275" s="60"/>
    </row>
    <row r="276">
      <c r="A276" s="57"/>
      <c r="D276" s="58"/>
      <c r="E276" s="59"/>
      <c r="F276" s="60"/>
    </row>
    <row r="277">
      <c r="A277" s="57"/>
      <c r="D277" s="58"/>
      <c r="E277" s="59"/>
      <c r="F277" s="60"/>
    </row>
    <row r="278">
      <c r="A278" s="57"/>
      <c r="D278" s="58"/>
      <c r="E278" s="59"/>
      <c r="F278" s="60"/>
    </row>
    <row r="279">
      <c r="A279" s="57"/>
      <c r="D279" s="58"/>
      <c r="E279" s="59"/>
      <c r="F279" s="60"/>
    </row>
    <row r="280">
      <c r="A280" s="57"/>
      <c r="D280" s="58"/>
      <c r="E280" s="59"/>
      <c r="F280" s="60"/>
    </row>
    <row r="281">
      <c r="A281" s="57"/>
      <c r="D281" s="58"/>
      <c r="E281" s="59"/>
      <c r="F281" s="60"/>
    </row>
    <row r="282">
      <c r="A282" s="57"/>
      <c r="D282" s="58"/>
      <c r="E282" s="59"/>
      <c r="F282" s="60"/>
    </row>
    <row r="283">
      <c r="A283" s="57"/>
      <c r="D283" s="58"/>
      <c r="E283" s="59"/>
      <c r="F283" s="60"/>
    </row>
    <row r="284">
      <c r="A284" s="57"/>
      <c r="D284" s="58"/>
      <c r="E284" s="59"/>
      <c r="F284" s="60"/>
    </row>
    <row r="285">
      <c r="A285" s="57"/>
      <c r="D285" s="58"/>
      <c r="E285" s="59"/>
      <c r="F285" s="60"/>
    </row>
    <row r="286">
      <c r="A286" s="57"/>
      <c r="D286" s="58"/>
      <c r="E286" s="59"/>
      <c r="F286" s="60"/>
    </row>
    <row r="287">
      <c r="A287" s="57"/>
      <c r="D287" s="58"/>
      <c r="E287" s="59"/>
      <c r="F287" s="60"/>
    </row>
    <row r="288">
      <c r="A288" s="57"/>
      <c r="D288" s="58"/>
      <c r="E288" s="59"/>
      <c r="F288" s="60"/>
    </row>
    <row r="289">
      <c r="A289" s="57"/>
      <c r="D289" s="58"/>
      <c r="E289" s="59"/>
      <c r="F289" s="60"/>
    </row>
    <row r="290">
      <c r="A290" s="57"/>
      <c r="D290" s="58"/>
      <c r="E290" s="59"/>
      <c r="F290" s="60"/>
    </row>
    <row r="291">
      <c r="A291" s="57"/>
      <c r="D291" s="58"/>
      <c r="E291" s="59"/>
      <c r="F291" s="60"/>
    </row>
    <row r="292">
      <c r="A292" s="57"/>
      <c r="D292" s="58"/>
      <c r="E292" s="59"/>
      <c r="F292" s="60"/>
    </row>
    <row r="293">
      <c r="A293" s="57"/>
      <c r="D293" s="58"/>
      <c r="E293" s="59"/>
      <c r="F293" s="60"/>
    </row>
    <row r="294">
      <c r="A294" s="57"/>
      <c r="D294" s="58"/>
      <c r="E294" s="59"/>
      <c r="F294" s="60"/>
    </row>
    <row r="295">
      <c r="A295" s="57"/>
      <c r="D295" s="58"/>
      <c r="E295" s="59"/>
      <c r="F295" s="60"/>
    </row>
    <row r="296">
      <c r="A296" s="57"/>
      <c r="D296" s="58"/>
      <c r="E296" s="59"/>
      <c r="F296" s="60"/>
    </row>
    <row r="297">
      <c r="A297" s="57"/>
      <c r="D297" s="58"/>
      <c r="E297" s="59"/>
      <c r="F297" s="60"/>
    </row>
    <row r="298">
      <c r="A298" s="57"/>
      <c r="D298" s="58"/>
      <c r="E298" s="59"/>
      <c r="F298" s="60"/>
    </row>
    <row r="299">
      <c r="A299" s="57"/>
      <c r="D299" s="58"/>
      <c r="E299" s="59"/>
      <c r="F299" s="60"/>
    </row>
    <row r="300">
      <c r="A300" s="57"/>
      <c r="D300" s="58"/>
      <c r="E300" s="59"/>
      <c r="F300" s="60"/>
    </row>
    <row r="301">
      <c r="A301" s="57"/>
      <c r="D301" s="58"/>
      <c r="E301" s="59"/>
      <c r="F301" s="60"/>
    </row>
    <row r="302">
      <c r="A302" s="57"/>
      <c r="D302" s="58"/>
      <c r="E302" s="59"/>
      <c r="F302" s="60"/>
    </row>
    <row r="303">
      <c r="A303" s="57"/>
      <c r="D303" s="58"/>
      <c r="E303" s="59"/>
      <c r="F303" s="60"/>
    </row>
    <row r="304">
      <c r="A304" s="57"/>
      <c r="D304" s="58"/>
      <c r="E304" s="59"/>
      <c r="F304" s="60"/>
    </row>
    <row r="305">
      <c r="A305" s="57"/>
      <c r="D305" s="58"/>
      <c r="E305" s="59"/>
      <c r="F305" s="60"/>
    </row>
    <row r="306">
      <c r="A306" s="57"/>
      <c r="D306" s="58"/>
      <c r="E306" s="59"/>
      <c r="F306" s="60"/>
    </row>
    <row r="307">
      <c r="A307" s="57"/>
      <c r="D307" s="58"/>
      <c r="E307" s="59"/>
      <c r="F307" s="60"/>
    </row>
    <row r="308">
      <c r="A308" s="57"/>
      <c r="D308" s="58"/>
      <c r="E308" s="59"/>
      <c r="F308" s="60"/>
    </row>
    <row r="309">
      <c r="A309" s="57"/>
      <c r="D309" s="58"/>
      <c r="E309" s="59"/>
      <c r="F309" s="60"/>
    </row>
    <row r="310">
      <c r="A310" s="57"/>
      <c r="D310" s="58"/>
      <c r="E310" s="59"/>
      <c r="F310" s="60"/>
    </row>
    <row r="311">
      <c r="A311" s="57"/>
      <c r="D311" s="58"/>
      <c r="E311" s="59"/>
      <c r="F311" s="60"/>
    </row>
    <row r="312">
      <c r="A312" s="57"/>
      <c r="D312" s="58"/>
      <c r="E312" s="59"/>
      <c r="F312" s="60"/>
    </row>
    <row r="313">
      <c r="A313" s="57"/>
      <c r="D313" s="58"/>
      <c r="E313" s="59"/>
      <c r="F313" s="60"/>
    </row>
    <row r="314">
      <c r="A314" s="57"/>
      <c r="D314" s="58"/>
      <c r="E314" s="59"/>
      <c r="F314" s="60"/>
    </row>
    <row r="315">
      <c r="A315" s="57"/>
      <c r="D315" s="58"/>
      <c r="E315" s="59"/>
      <c r="F315" s="60"/>
    </row>
    <row r="316">
      <c r="A316" s="57"/>
      <c r="D316" s="58"/>
      <c r="E316" s="59"/>
      <c r="F316" s="60"/>
    </row>
    <row r="317">
      <c r="A317" s="57"/>
      <c r="D317" s="58"/>
      <c r="E317" s="59"/>
      <c r="F317" s="60"/>
    </row>
    <row r="318">
      <c r="A318" s="57"/>
      <c r="D318" s="58"/>
      <c r="E318" s="59"/>
      <c r="F318" s="60"/>
    </row>
    <row r="319">
      <c r="A319" s="57"/>
      <c r="D319" s="58"/>
      <c r="E319" s="59"/>
      <c r="F319" s="60"/>
    </row>
    <row r="320">
      <c r="A320" s="57"/>
      <c r="D320" s="58"/>
      <c r="E320" s="59"/>
      <c r="F320" s="60"/>
    </row>
    <row r="321">
      <c r="A321" s="57"/>
      <c r="D321" s="58"/>
      <c r="E321" s="59"/>
      <c r="F321" s="60"/>
    </row>
    <row r="322">
      <c r="A322" s="57"/>
      <c r="D322" s="58"/>
      <c r="E322" s="59"/>
      <c r="F322" s="60"/>
    </row>
    <row r="323">
      <c r="A323" s="57"/>
      <c r="D323" s="58"/>
      <c r="E323" s="59"/>
      <c r="F323" s="60"/>
    </row>
    <row r="324">
      <c r="A324" s="57"/>
      <c r="D324" s="58"/>
      <c r="E324" s="59"/>
      <c r="F324" s="60"/>
    </row>
    <row r="325">
      <c r="A325" s="57"/>
      <c r="D325" s="58"/>
      <c r="E325" s="59"/>
      <c r="F325" s="60"/>
    </row>
    <row r="326">
      <c r="A326" s="57"/>
      <c r="D326" s="58"/>
      <c r="E326" s="59"/>
      <c r="F326" s="60"/>
    </row>
    <row r="327">
      <c r="A327" s="57"/>
      <c r="D327" s="58"/>
      <c r="E327" s="59"/>
      <c r="F327" s="60"/>
    </row>
    <row r="328">
      <c r="A328" s="57"/>
      <c r="D328" s="58"/>
      <c r="E328" s="59"/>
      <c r="F328" s="60"/>
    </row>
    <row r="329">
      <c r="A329" s="57"/>
      <c r="D329" s="58"/>
      <c r="E329" s="59"/>
      <c r="F329" s="60"/>
    </row>
    <row r="330">
      <c r="A330" s="57"/>
      <c r="D330" s="58"/>
      <c r="E330" s="59"/>
      <c r="F330" s="60"/>
    </row>
    <row r="331">
      <c r="A331" s="57"/>
      <c r="D331" s="58"/>
      <c r="E331" s="59"/>
      <c r="F331" s="60"/>
    </row>
    <row r="332">
      <c r="A332" s="57"/>
      <c r="D332" s="58"/>
      <c r="E332" s="59"/>
      <c r="F332" s="60"/>
    </row>
    <row r="333">
      <c r="A333" s="57"/>
      <c r="D333" s="58"/>
      <c r="E333" s="59"/>
      <c r="F333" s="60"/>
    </row>
    <row r="334">
      <c r="A334" s="57"/>
      <c r="D334" s="58"/>
      <c r="E334" s="59"/>
      <c r="F334" s="60"/>
    </row>
    <row r="335">
      <c r="A335" s="57"/>
      <c r="D335" s="58"/>
      <c r="E335" s="59"/>
      <c r="F335" s="60"/>
    </row>
    <row r="336">
      <c r="A336" s="57"/>
      <c r="D336" s="58"/>
      <c r="E336" s="59"/>
      <c r="F336" s="60"/>
    </row>
    <row r="337">
      <c r="A337" s="57"/>
      <c r="D337" s="58"/>
      <c r="E337" s="59"/>
      <c r="F337" s="60"/>
    </row>
    <row r="338">
      <c r="A338" s="57"/>
      <c r="D338" s="58"/>
      <c r="E338" s="59"/>
      <c r="F338" s="60"/>
    </row>
    <row r="339">
      <c r="A339" s="57"/>
      <c r="D339" s="58"/>
      <c r="E339" s="59"/>
      <c r="F339" s="60"/>
    </row>
    <row r="340">
      <c r="A340" s="57"/>
      <c r="D340" s="58"/>
      <c r="E340" s="59"/>
      <c r="F340" s="60"/>
    </row>
    <row r="341">
      <c r="A341" s="57"/>
      <c r="D341" s="58"/>
      <c r="E341" s="59"/>
      <c r="F341" s="60"/>
    </row>
    <row r="342">
      <c r="A342" s="57"/>
      <c r="D342" s="58"/>
      <c r="E342" s="59"/>
      <c r="F342" s="60"/>
    </row>
    <row r="343">
      <c r="A343" s="57"/>
      <c r="D343" s="58"/>
      <c r="E343" s="59"/>
      <c r="F343" s="60"/>
    </row>
    <row r="344">
      <c r="A344" s="57"/>
      <c r="D344" s="58"/>
      <c r="E344" s="59"/>
      <c r="F344" s="60"/>
    </row>
    <row r="345">
      <c r="A345" s="57"/>
      <c r="D345" s="58"/>
      <c r="E345" s="59"/>
      <c r="F345" s="60"/>
    </row>
    <row r="346">
      <c r="A346" s="57"/>
      <c r="D346" s="58"/>
      <c r="E346" s="59"/>
      <c r="F346" s="60"/>
    </row>
    <row r="347">
      <c r="A347" s="57"/>
      <c r="D347" s="58"/>
      <c r="E347" s="59"/>
      <c r="F347" s="60"/>
    </row>
    <row r="348">
      <c r="A348" s="57"/>
      <c r="D348" s="58"/>
      <c r="E348" s="59"/>
      <c r="F348" s="60"/>
    </row>
    <row r="349">
      <c r="A349" s="57"/>
      <c r="D349" s="58"/>
      <c r="E349" s="59"/>
      <c r="F349" s="60"/>
    </row>
    <row r="350">
      <c r="A350" s="57"/>
      <c r="D350" s="58"/>
      <c r="E350" s="59"/>
      <c r="F350" s="60"/>
    </row>
    <row r="351">
      <c r="A351" s="57"/>
      <c r="D351" s="58"/>
      <c r="E351" s="59"/>
      <c r="F351" s="60"/>
    </row>
    <row r="352">
      <c r="A352" s="57"/>
      <c r="D352" s="58"/>
      <c r="E352" s="59"/>
      <c r="F352" s="60"/>
    </row>
    <row r="353">
      <c r="A353" s="57"/>
      <c r="D353" s="58"/>
      <c r="E353" s="59"/>
      <c r="F353" s="60"/>
    </row>
    <row r="354">
      <c r="A354" s="57"/>
      <c r="D354" s="58"/>
      <c r="E354" s="59"/>
      <c r="F354" s="60"/>
    </row>
    <row r="355">
      <c r="A355" s="57"/>
      <c r="D355" s="58"/>
      <c r="E355" s="59"/>
      <c r="F355" s="60"/>
    </row>
    <row r="356">
      <c r="A356" s="57"/>
      <c r="D356" s="58"/>
      <c r="E356" s="59"/>
      <c r="F356" s="60"/>
    </row>
    <row r="357">
      <c r="A357" s="57"/>
      <c r="D357" s="58"/>
      <c r="E357" s="59"/>
      <c r="F357" s="60"/>
    </row>
    <row r="358">
      <c r="A358" s="57"/>
      <c r="D358" s="58"/>
      <c r="E358" s="59"/>
      <c r="F358" s="60"/>
    </row>
    <row r="359">
      <c r="A359" s="57"/>
      <c r="D359" s="58"/>
      <c r="E359" s="59"/>
      <c r="F359" s="60"/>
    </row>
    <row r="360">
      <c r="A360" s="57"/>
      <c r="D360" s="58"/>
      <c r="E360" s="59"/>
      <c r="F360" s="60"/>
    </row>
    <row r="361">
      <c r="A361" s="57"/>
      <c r="D361" s="58"/>
      <c r="E361" s="59"/>
      <c r="F361" s="60"/>
    </row>
    <row r="362">
      <c r="A362" s="57"/>
      <c r="D362" s="58"/>
      <c r="E362" s="59"/>
      <c r="F362" s="60"/>
    </row>
    <row r="363">
      <c r="A363" s="57"/>
      <c r="D363" s="58"/>
      <c r="E363" s="59"/>
      <c r="F363" s="60"/>
    </row>
    <row r="364">
      <c r="A364" s="57"/>
      <c r="D364" s="58"/>
      <c r="E364" s="59"/>
      <c r="F364" s="60"/>
    </row>
    <row r="365">
      <c r="A365" s="57"/>
      <c r="D365" s="58"/>
      <c r="E365" s="59"/>
      <c r="F365" s="60"/>
    </row>
    <row r="366">
      <c r="A366" s="57"/>
      <c r="D366" s="58"/>
      <c r="E366" s="59"/>
      <c r="F366" s="60"/>
    </row>
    <row r="367">
      <c r="A367" s="57"/>
      <c r="D367" s="58"/>
      <c r="E367" s="59"/>
      <c r="F367" s="60"/>
    </row>
    <row r="368">
      <c r="A368" s="57"/>
      <c r="D368" s="58"/>
      <c r="E368" s="59"/>
      <c r="F368" s="60"/>
    </row>
    <row r="369">
      <c r="A369" s="57"/>
      <c r="D369" s="58"/>
      <c r="E369" s="59"/>
      <c r="F369" s="60"/>
    </row>
    <row r="370">
      <c r="A370" s="57"/>
      <c r="D370" s="58"/>
      <c r="E370" s="59"/>
      <c r="F370" s="60"/>
    </row>
    <row r="371">
      <c r="A371" s="57"/>
      <c r="D371" s="58"/>
      <c r="E371" s="59"/>
      <c r="F371" s="60"/>
    </row>
    <row r="372">
      <c r="A372" s="57"/>
      <c r="D372" s="58"/>
      <c r="E372" s="59"/>
      <c r="F372" s="60"/>
    </row>
    <row r="373">
      <c r="A373" s="57"/>
      <c r="D373" s="58"/>
      <c r="E373" s="59"/>
      <c r="F373" s="60"/>
    </row>
    <row r="374">
      <c r="A374" s="57"/>
      <c r="D374" s="58"/>
      <c r="E374" s="59"/>
      <c r="F374" s="60"/>
    </row>
    <row r="375">
      <c r="A375" s="57"/>
      <c r="D375" s="58"/>
      <c r="E375" s="59"/>
      <c r="F375" s="60"/>
    </row>
    <row r="376">
      <c r="A376" s="57"/>
      <c r="D376" s="58"/>
      <c r="E376" s="59"/>
      <c r="F376" s="60"/>
    </row>
    <row r="377">
      <c r="A377" s="57"/>
      <c r="D377" s="58"/>
      <c r="E377" s="59"/>
      <c r="F377" s="60"/>
    </row>
    <row r="378">
      <c r="A378" s="57"/>
      <c r="D378" s="58"/>
      <c r="E378" s="59"/>
      <c r="F378" s="60"/>
    </row>
    <row r="379">
      <c r="A379" s="57"/>
      <c r="D379" s="58"/>
      <c r="E379" s="59"/>
      <c r="F379" s="60"/>
    </row>
    <row r="380">
      <c r="A380" s="57"/>
      <c r="D380" s="58"/>
      <c r="E380" s="59"/>
      <c r="F380" s="60"/>
    </row>
    <row r="381">
      <c r="A381" s="57"/>
      <c r="D381" s="58"/>
      <c r="E381" s="59"/>
      <c r="F381" s="60"/>
    </row>
    <row r="382">
      <c r="A382" s="57"/>
      <c r="D382" s="58"/>
      <c r="E382" s="59"/>
      <c r="F382" s="60"/>
    </row>
    <row r="383">
      <c r="A383" s="57"/>
      <c r="D383" s="58"/>
      <c r="E383" s="59"/>
      <c r="F383" s="60"/>
    </row>
    <row r="384">
      <c r="A384" s="57"/>
      <c r="D384" s="58"/>
      <c r="E384" s="59"/>
      <c r="F384" s="60"/>
    </row>
    <row r="385">
      <c r="A385" s="57"/>
      <c r="D385" s="58"/>
      <c r="E385" s="59"/>
      <c r="F385" s="60"/>
    </row>
    <row r="386">
      <c r="A386" s="57"/>
      <c r="D386" s="58"/>
      <c r="E386" s="59"/>
      <c r="F386" s="60"/>
    </row>
    <row r="387">
      <c r="A387" s="57"/>
      <c r="D387" s="58"/>
      <c r="E387" s="59"/>
      <c r="F387" s="60"/>
    </row>
    <row r="388">
      <c r="A388" s="57"/>
      <c r="D388" s="58"/>
      <c r="E388" s="59"/>
      <c r="F388" s="60"/>
    </row>
    <row r="389">
      <c r="A389" s="57"/>
      <c r="D389" s="58"/>
      <c r="E389" s="59"/>
      <c r="F389" s="60"/>
    </row>
    <row r="390">
      <c r="A390" s="57"/>
      <c r="D390" s="58"/>
      <c r="E390" s="59"/>
      <c r="F390" s="60"/>
    </row>
    <row r="391">
      <c r="A391" s="57"/>
      <c r="D391" s="58"/>
      <c r="E391" s="59"/>
      <c r="F391" s="60"/>
    </row>
    <row r="392">
      <c r="A392" s="57"/>
      <c r="D392" s="58"/>
      <c r="E392" s="59"/>
      <c r="F392" s="60"/>
    </row>
    <row r="393">
      <c r="A393" s="57"/>
      <c r="D393" s="58"/>
      <c r="E393" s="59"/>
      <c r="F393" s="60"/>
    </row>
    <row r="394">
      <c r="A394" s="57"/>
      <c r="D394" s="58"/>
      <c r="E394" s="59"/>
      <c r="F394" s="60"/>
    </row>
    <row r="395">
      <c r="A395" s="57"/>
      <c r="D395" s="58"/>
      <c r="E395" s="59"/>
      <c r="F395" s="60"/>
    </row>
    <row r="396">
      <c r="A396" s="57"/>
      <c r="D396" s="58"/>
      <c r="E396" s="59"/>
      <c r="F396" s="60"/>
    </row>
    <row r="397">
      <c r="A397" s="57"/>
      <c r="D397" s="58"/>
      <c r="E397" s="59"/>
      <c r="F397" s="60"/>
    </row>
    <row r="398">
      <c r="A398" s="57"/>
      <c r="D398" s="58"/>
      <c r="E398" s="59"/>
      <c r="F398" s="60"/>
    </row>
    <row r="399">
      <c r="A399" s="57"/>
      <c r="D399" s="58"/>
      <c r="E399" s="59"/>
      <c r="F399" s="60"/>
    </row>
    <row r="400">
      <c r="A400" s="57"/>
      <c r="D400" s="58"/>
      <c r="E400" s="59"/>
      <c r="F400" s="60"/>
    </row>
    <row r="401">
      <c r="A401" s="57"/>
      <c r="D401" s="58"/>
      <c r="E401" s="59"/>
      <c r="F401" s="60"/>
    </row>
    <row r="402">
      <c r="A402" s="57"/>
      <c r="D402" s="58"/>
      <c r="E402" s="59"/>
      <c r="F402" s="60"/>
    </row>
    <row r="403">
      <c r="A403" s="57"/>
      <c r="D403" s="58"/>
      <c r="E403" s="59"/>
      <c r="F403" s="60"/>
    </row>
    <row r="404">
      <c r="A404" s="57"/>
      <c r="D404" s="58"/>
      <c r="E404" s="59"/>
      <c r="F404" s="60"/>
    </row>
    <row r="405">
      <c r="A405" s="57"/>
      <c r="D405" s="58"/>
      <c r="E405" s="59"/>
      <c r="F405" s="60"/>
    </row>
    <row r="406">
      <c r="A406" s="57"/>
      <c r="D406" s="58"/>
      <c r="E406" s="59"/>
      <c r="F406" s="60"/>
    </row>
    <row r="407">
      <c r="A407" s="57"/>
      <c r="D407" s="58"/>
      <c r="E407" s="59"/>
      <c r="F407" s="60"/>
    </row>
    <row r="408">
      <c r="A408" s="57"/>
      <c r="D408" s="58"/>
      <c r="E408" s="59"/>
      <c r="F408" s="60"/>
    </row>
    <row r="409">
      <c r="A409" s="57"/>
      <c r="D409" s="58"/>
      <c r="E409" s="59"/>
      <c r="F409" s="60"/>
    </row>
    <row r="410">
      <c r="A410" s="57"/>
      <c r="D410" s="58"/>
      <c r="E410" s="59"/>
      <c r="F410" s="60"/>
    </row>
    <row r="411">
      <c r="A411" s="57"/>
      <c r="D411" s="58"/>
      <c r="E411" s="59"/>
      <c r="F411" s="60"/>
    </row>
    <row r="412">
      <c r="A412" s="57"/>
      <c r="D412" s="58"/>
      <c r="E412" s="59"/>
      <c r="F412" s="60"/>
    </row>
    <row r="413">
      <c r="A413" s="57"/>
      <c r="D413" s="58"/>
      <c r="E413" s="59"/>
      <c r="F413" s="60"/>
    </row>
    <row r="414">
      <c r="A414" s="57"/>
      <c r="D414" s="58"/>
      <c r="E414" s="59"/>
      <c r="F414" s="60"/>
    </row>
    <row r="415">
      <c r="A415" s="57"/>
      <c r="D415" s="58"/>
      <c r="E415" s="59"/>
      <c r="F415" s="60"/>
    </row>
    <row r="416">
      <c r="A416" s="57"/>
      <c r="D416" s="58"/>
      <c r="E416" s="59"/>
      <c r="F416" s="60"/>
    </row>
    <row r="417">
      <c r="A417" s="57"/>
      <c r="D417" s="58"/>
      <c r="E417" s="59"/>
      <c r="F417" s="60"/>
    </row>
    <row r="418">
      <c r="A418" s="57"/>
      <c r="D418" s="58"/>
      <c r="E418" s="59"/>
      <c r="F418" s="60"/>
    </row>
    <row r="419">
      <c r="A419" s="57"/>
      <c r="D419" s="58"/>
      <c r="E419" s="59"/>
      <c r="F419" s="60"/>
    </row>
    <row r="420">
      <c r="A420" s="57"/>
      <c r="D420" s="58"/>
      <c r="E420" s="59"/>
      <c r="F420" s="60"/>
    </row>
    <row r="421">
      <c r="A421" s="57"/>
      <c r="D421" s="58"/>
      <c r="E421" s="59"/>
      <c r="F421" s="60"/>
    </row>
    <row r="422">
      <c r="A422" s="57"/>
      <c r="D422" s="58"/>
      <c r="E422" s="59"/>
      <c r="F422" s="60"/>
    </row>
    <row r="423">
      <c r="A423" s="57"/>
      <c r="D423" s="58"/>
      <c r="E423" s="59"/>
      <c r="F423" s="60"/>
    </row>
    <row r="424">
      <c r="A424" s="57"/>
      <c r="D424" s="58"/>
      <c r="E424" s="59"/>
      <c r="F424" s="60"/>
    </row>
    <row r="425">
      <c r="A425" s="57"/>
      <c r="D425" s="58"/>
      <c r="E425" s="59"/>
      <c r="F425" s="60"/>
    </row>
    <row r="426">
      <c r="A426" s="57"/>
      <c r="D426" s="58"/>
      <c r="E426" s="59"/>
      <c r="F426" s="60"/>
    </row>
    <row r="427">
      <c r="A427" s="57"/>
      <c r="D427" s="58"/>
      <c r="E427" s="59"/>
      <c r="F427" s="60"/>
    </row>
    <row r="428">
      <c r="A428" s="57"/>
      <c r="D428" s="58"/>
      <c r="E428" s="59"/>
      <c r="F428" s="60"/>
    </row>
    <row r="429">
      <c r="A429" s="57"/>
      <c r="D429" s="58"/>
      <c r="E429" s="59"/>
      <c r="F429" s="60"/>
    </row>
    <row r="430">
      <c r="A430" s="57"/>
      <c r="D430" s="58"/>
      <c r="E430" s="59"/>
      <c r="F430" s="60"/>
    </row>
    <row r="431">
      <c r="A431" s="57"/>
      <c r="D431" s="58"/>
      <c r="E431" s="59"/>
      <c r="F431" s="60"/>
    </row>
    <row r="432">
      <c r="A432" s="57"/>
      <c r="D432" s="58"/>
      <c r="E432" s="59"/>
      <c r="F432" s="60"/>
    </row>
    <row r="433">
      <c r="A433" s="57"/>
      <c r="D433" s="58"/>
      <c r="E433" s="59"/>
      <c r="F433" s="60"/>
    </row>
    <row r="434">
      <c r="A434" s="57"/>
      <c r="D434" s="58"/>
      <c r="E434" s="59"/>
      <c r="F434" s="60"/>
    </row>
    <row r="435">
      <c r="A435" s="57"/>
      <c r="D435" s="58"/>
      <c r="E435" s="59"/>
      <c r="F435" s="60"/>
    </row>
    <row r="436">
      <c r="A436" s="57"/>
      <c r="D436" s="58"/>
      <c r="E436" s="59"/>
      <c r="F436" s="60"/>
    </row>
    <row r="437">
      <c r="A437" s="57"/>
      <c r="D437" s="58"/>
      <c r="E437" s="59"/>
      <c r="F437" s="60"/>
    </row>
    <row r="438">
      <c r="A438" s="57"/>
      <c r="D438" s="58"/>
      <c r="E438" s="59"/>
      <c r="F438" s="60"/>
    </row>
    <row r="439">
      <c r="A439" s="57"/>
      <c r="D439" s="58"/>
      <c r="E439" s="59"/>
      <c r="F439" s="60"/>
    </row>
    <row r="440">
      <c r="A440" s="57"/>
      <c r="D440" s="58"/>
      <c r="E440" s="59"/>
      <c r="F440" s="60"/>
    </row>
    <row r="441">
      <c r="A441" s="57"/>
      <c r="D441" s="58"/>
      <c r="E441" s="59"/>
      <c r="F441" s="60"/>
    </row>
    <row r="442">
      <c r="A442" s="57"/>
      <c r="D442" s="58"/>
      <c r="E442" s="59"/>
      <c r="F442" s="60"/>
    </row>
    <row r="443">
      <c r="A443" s="57"/>
      <c r="D443" s="58"/>
      <c r="E443" s="59"/>
      <c r="F443" s="60"/>
    </row>
    <row r="444">
      <c r="A444" s="57"/>
      <c r="D444" s="58"/>
      <c r="E444" s="59"/>
      <c r="F444" s="60"/>
    </row>
    <row r="445">
      <c r="A445" s="57"/>
      <c r="D445" s="58"/>
      <c r="E445" s="59"/>
      <c r="F445" s="60"/>
    </row>
    <row r="446">
      <c r="A446" s="57"/>
      <c r="D446" s="58"/>
      <c r="E446" s="59"/>
      <c r="F446" s="60"/>
    </row>
    <row r="447">
      <c r="A447" s="57"/>
      <c r="D447" s="58"/>
      <c r="E447" s="59"/>
      <c r="F447" s="60"/>
    </row>
    <row r="448">
      <c r="A448" s="57"/>
      <c r="D448" s="58"/>
      <c r="E448" s="59"/>
      <c r="F448" s="60"/>
    </row>
    <row r="449">
      <c r="A449" s="57"/>
      <c r="D449" s="58"/>
      <c r="E449" s="59"/>
      <c r="F449" s="60"/>
    </row>
    <row r="450">
      <c r="A450" s="57"/>
      <c r="D450" s="58"/>
      <c r="E450" s="59"/>
      <c r="F450" s="60"/>
    </row>
    <row r="451">
      <c r="A451" s="57"/>
      <c r="D451" s="58"/>
      <c r="E451" s="59"/>
      <c r="F451" s="60"/>
    </row>
    <row r="452">
      <c r="A452" s="57"/>
      <c r="D452" s="58"/>
      <c r="E452" s="59"/>
      <c r="F452" s="60"/>
    </row>
    <row r="453">
      <c r="A453" s="57"/>
      <c r="D453" s="58"/>
      <c r="E453" s="59"/>
      <c r="F453" s="60"/>
    </row>
    <row r="454">
      <c r="A454" s="57"/>
      <c r="D454" s="58"/>
      <c r="E454" s="59"/>
      <c r="F454" s="60"/>
    </row>
    <row r="455">
      <c r="A455" s="57"/>
      <c r="D455" s="58"/>
      <c r="E455" s="59"/>
      <c r="F455" s="60"/>
    </row>
    <row r="456">
      <c r="A456" s="57"/>
      <c r="D456" s="58"/>
      <c r="E456" s="59"/>
      <c r="F456" s="60"/>
    </row>
    <row r="457">
      <c r="A457" s="57"/>
      <c r="D457" s="58"/>
      <c r="E457" s="59"/>
      <c r="F457" s="60"/>
    </row>
    <row r="458">
      <c r="A458" s="57"/>
      <c r="D458" s="58"/>
      <c r="E458" s="59"/>
      <c r="F458" s="60"/>
    </row>
    <row r="459">
      <c r="A459" s="57"/>
      <c r="D459" s="58"/>
      <c r="E459" s="59"/>
      <c r="F459" s="60"/>
    </row>
    <row r="460">
      <c r="A460" s="57"/>
      <c r="D460" s="58"/>
      <c r="E460" s="59"/>
      <c r="F460" s="60"/>
    </row>
    <row r="461">
      <c r="A461" s="57"/>
      <c r="D461" s="58"/>
      <c r="E461" s="59"/>
      <c r="F461" s="60"/>
    </row>
    <row r="462">
      <c r="A462" s="57"/>
      <c r="D462" s="58"/>
      <c r="E462" s="59"/>
      <c r="F462" s="60"/>
    </row>
    <row r="463">
      <c r="A463" s="57"/>
      <c r="D463" s="58"/>
      <c r="E463" s="59"/>
      <c r="F463" s="60"/>
    </row>
    <row r="464">
      <c r="A464" s="57"/>
      <c r="D464" s="58"/>
      <c r="E464" s="59"/>
      <c r="F464" s="60"/>
    </row>
    <row r="465">
      <c r="A465" s="57"/>
      <c r="D465" s="58"/>
      <c r="E465" s="59"/>
      <c r="F465" s="60"/>
    </row>
    <row r="466">
      <c r="A466" s="57"/>
      <c r="D466" s="58"/>
      <c r="E466" s="59"/>
      <c r="F466" s="60"/>
    </row>
    <row r="467">
      <c r="A467" s="57"/>
      <c r="D467" s="58"/>
      <c r="E467" s="59"/>
      <c r="F467" s="60"/>
    </row>
    <row r="468">
      <c r="A468" s="57"/>
      <c r="D468" s="58"/>
      <c r="E468" s="59"/>
      <c r="F468" s="60"/>
    </row>
    <row r="469">
      <c r="A469" s="57"/>
      <c r="D469" s="58"/>
      <c r="E469" s="59"/>
      <c r="F469" s="60"/>
    </row>
    <row r="470">
      <c r="A470" s="57"/>
      <c r="D470" s="58"/>
      <c r="E470" s="59"/>
      <c r="F470" s="60"/>
    </row>
    <row r="471">
      <c r="A471" s="57"/>
      <c r="D471" s="58"/>
      <c r="E471" s="59"/>
      <c r="F471" s="60"/>
    </row>
    <row r="472">
      <c r="A472" s="57"/>
      <c r="D472" s="58"/>
      <c r="E472" s="59"/>
      <c r="F472" s="60"/>
    </row>
    <row r="473">
      <c r="A473" s="57"/>
      <c r="D473" s="58"/>
      <c r="E473" s="59"/>
      <c r="F473" s="60"/>
    </row>
    <row r="474">
      <c r="A474" s="57"/>
      <c r="D474" s="58"/>
      <c r="E474" s="59"/>
      <c r="F474" s="60"/>
    </row>
    <row r="475">
      <c r="A475" s="57"/>
      <c r="D475" s="58"/>
      <c r="E475" s="59"/>
      <c r="F475" s="60"/>
    </row>
    <row r="476">
      <c r="A476" s="57"/>
      <c r="D476" s="58"/>
      <c r="E476" s="59"/>
      <c r="F476" s="60"/>
    </row>
    <row r="477">
      <c r="A477" s="57"/>
      <c r="D477" s="58"/>
      <c r="E477" s="59"/>
      <c r="F477" s="60"/>
    </row>
    <row r="478">
      <c r="A478" s="57"/>
      <c r="D478" s="58"/>
      <c r="E478" s="59"/>
      <c r="F478" s="60"/>
    </row>
    <row r="479">
      <c r="A479" s="57"/>
      <c r="D479" s="58"/>
      <c r="E479" s="59"/>
      <c r="F479" s="60"/>
    </row>
    <row r="480">
      <c r="A480" s="57"/>
      <c r="D480" s="58"/>
      <c r="E480" s="59"/>
      <c r="F480" s="60"/>
    </row>
    <row r="481">
      <c r="A481" s="57"/>
      <c r="D481" s="58"/>
      <c r="E481" s="59"/>
      <c r="F481" s="60"/>
    </row>
    <row r="482">
      <c r="A482" s="57"/>
      <c r="D482" s="58"/>
      <c r="E482" s="59"/>
      <c r="F482" s="60"/>
    </row>
    <row r="483">
      <c r="A483" s="57"/>
      <c r="D483" s="58"/>
      <c r="E483" s="59"/>
      <c r="F483" s="60"/>
    </row>
    <row r="484">
      <c r="A484" s="57"/>
      <c r="D484" s="58"/>
      <c r="E484" s="59"/>
      <c r="F484" s="60"/>
    </row>
    <row r="485">
      <c r="A485" s="57"/>
      <c r="D485" s="58"/>
      <c r="E485" s="59"/>
      <c r="F485" s="60"/>
    </row>
    <row r="486">
      <c r="A486" s="57"/>
      <c r="D486" s="58"/>
      <c r="E486" s="59"/>
      <c r="F486" s="60"/>
    </row>
    <row r="487">
      <c r="A487" s="57"/>
      <c r="D487" s="58"/>
      <c r="E487" s="59"/>
      <c r="F487" s="60"/>
    </row>
    <row r="488">
      <c r="A488" s="57"/>
      <c r="D488" s="58"/>
      <c r="E488" s="59"/>
      <c r="F488" s="60"/>
    </row>
    <row r="489">
      <c r="A489" s="57"/>
      <c r="D489" s="58"/>
      <c r="E489" s="59"/>
      <c r="F489" s="60"/>
    </row>
    <row r="490">
      <c r="A490" s="57"/>
      <c r="D490" s="58"/>
      <c r="E490" s="59"/>
      <c r="F490" s="60"/>
    </row>
    <row r="491">
      <c r="A491" s="57"/>
      <c r="D491" s="58"/>
      <c r="E491" s="59"/>
      <c r="F491" s="60"/>
    </row>
    <row r="492">
      <c r="A492" s="57"/>
      <c r="D492" s="58"/>
      <c r="E492" s="59"/>
      <c r="F492" s="60"/>
    </row>
    <row r="493">
      <c r="A493" s="57"/>
      <c r="D493" s="58"/>
      <c r="E493" s="59"/>
      <c r="F493" s="60"/>
    </row>
    <row r="494">
      <c r="A494" s="57"/>
      <c r="D494" s="58"/>
      <c r="E494" s="59"/>
      <c r="F494" s="60"/>
    </row>
    <row r="495">
      <c r="A495" s="57"/>
      <c r="D495" s="58"/>
      <c r="E495" s="59"/>
      <c r="F495" s="60"/>
    </row>
    <row r="496">
      <c r="A496" s="57"/>
      <c r="D496" s="58"/>
      <c r="E496" s="59"/>
      <c r="F496" s="60"/>
    </row>
    <row r="497">
      <c r="A497" s="57"/>
      <c r="D497" s="58"/>
      <c r="E497" s="59"/>
      <c r="F497" s="60"/>
    </row>
    <row r="498">
      <c r="A498" s="57"/>
      <c r="D498" s="58"/>
      <c r="E498" s="59"/>
      <c r="F498" s="60"/>
    </row>
    <row r="499">
      <c r="A499" s="57"/>
      <c r="D499" s="58"/>
      <c r="E499" s="59"/>
      <c r="F499" s="60"/>
    </row>
    <row r="500">
      <c r="A500" s="57"/>
      <c r="D500" s="58"/>
      <c r="E500" s="59"/>
      <c r="F500" s="60"/>
    </row>
    <row r="501">
      <c r="A501" s="57"/>
      <c r="D501" s="58"/>
      <c r="E501" s="59"/>
      <c r="F501" s="60"/>
    </row>
    <row r="502">
      <c r="A502" s="57"/>
      <c r="D502" s="58"/>
      <c r="E502" s="59"/>
      <c r="F502" s="60"/>
    </row>
    <row r="503">
      <c r="A503" s="57"/>
      <c r="D503" s="58"/>
      <c r="E503" s="59"/>
      <c r="F503" s="60"/>
    </row>
    <row r="504">
      <c r="A504" s="57"/>
      <c r="D504" s="58"/>
      <c r="E504" s="59"/>
      <c r="F504" s="60"/>
    </row>
    <row r="505">
      <c r="A505" s="57"/>
      <c r="D505" s="58"/>
      <c r="E505" s="59"/>
      <c r="F505" s="60"/>
    </row>
    <row r="506">
      <c r="A506" s="57"/>
      <c r="D506" s="58"/>
      <c r="E506" s="59"/>
      <c r="F506" s="60"/>
    </row>
    <row r="507">
      <c r="A507" s="57"/>
      <c r="D507" s="58"/>
      <c r="E507" s="59"/>
      <c r="F507" s="60"/>
    </row>
    <row r="508">
      <c r="A508" s="57"/>
      <c r="D508" s="58"/>
      <c r="E508" s="59"/>
      <c r="F508" s="60"/>
    </row>
    <row r="509">
      <c r="A509" s="57"/>
      <c r="D509" s="58"/>
      <c r="E509" s="59"/>
      <c r="F509" s="60"/>
    </row>
    <row r="510">
      <c r="A510" s="57"/>
      <c r="D510" s="58"/>
      <c r="E510" s="59"/>
      <c r="F510" s="60"/>
    </row>
    <row r="511">
      <c r="A511" s="57"/>
      <c r="D511" s="58"/>
      <c r="E511" s="59"/>
      <c r="F511" s="60"/>
    </row>
    <row r="512">
      <c r="A512" s="57"/>
      <c r="D512" s="58"/>
      <c r="E512" s="59"/>
      <c r="F512" s="60"/>
    </row>
    <row r="513">
      <c r="A513" s="57"/>
      <c r="D513" s="58"/>
      <c r="E513" s="59"/>
      <c r="F513" s="60"/>
    </row>
    <row r="514">
      <c r="A514" s="57"/>
      <c r="D514" s="58"/>
      <c r="E514" s="59"/>
      <c r="F514" s="60"/>
    </row>
    <row r="515">
      <c r="A515" s="57"/>
      <c r="D515" s="58"/>
      <c r="E515" s="59"/>
      <c r="F515" s="60"/>
    </row>
    <row r="516">
      <c r="A516" s="57"/>
      <c r="D516" s="58"/>
      <c r="E516" s="59"/>
      <c r="F516" s="60"/>
    </row>
    <row r="517">
      <c r="A517" s="57"/>
      <c r="D517" s="58"/>
      <c r="E517" s="59"/>
      <c r="F517" s="60"/>
    </row>
    <row r="518">
      <c r="A518" s="57"/>
      <c r="D518" s="58"/>
      <c r="E518" s="59"/>
      <c r="F518" s="60"/>
    </row>
    <row r="519">
      <c r="A519" s="57"/>
      <c r="D519" s="58"/>
      <c r="E519" s="59"/>
      <c r="F519" s="60"/>
    </row>
    <row r="520">
      <c r="A520" s="57"/>
      <c r="D520" s="58"/>
      <c r="E520" s="59"/>
      <c r="F520" s="60"/>
    </row>
    <row r="521">
      <c r="A521" s="57"/>
      <c r="D521" s="58"/>
      <c r="E521" s="59"/>
      <c r="F521" s="60"/>
    </row>
    <row r="522">
      <c r="A522" s="57"/>
      <c r="D522" s="58"/>
      <c r="E522" s="59"/>
      <c r="F522" s="60"/>
    </row>
    <row r="523">
      <c r="A523" s="57"/>
      <c r="D523" s="58"/>
      <c r="E523" s="59"/>
      <c r="F523" s="60"/>
    </row>
    <row r="524">
      <c r="A524" s="57"/>
      <c r="D524" s="58"/>
      <c r="E524" s="59"/>
      <c r="F524" s="60"/>
    </row>
    <row r="525">
      <c r="A525" s="57"/>
      <c r="D525" s="58"/>
      <c r="E525" s="59"/>
      <c r="F525" s="60"/>
    </row>
    <row r="526">
      <c r="A526" s="57"/>
      <c r="D526" s="58"/>
      <c r="E526" s="59"/>
      <c r="F526" s="60"/>
    </row>
    <row r="527">
      <c r="A527" s="57"/>
      <c r="D527" s="58"/>
      <c r="E527" s="59"/>
      <c r="F527" s="60"/>
    </row>
    <row r="528">
      <c r="A528" s="57"/>
      <c r="D528" s="58"/>
      <c r="E528" s="59"/>
      <c r="F528" s="60"/>
    </row>
    <row r="529">
      <c r="A529" s="57"/>
      <c r="D529" s="58"/>
      <c r="E529" s="59"/>
      <c r="F529" s="60"/>
    </row>
    <row r="530">
      <c r="A530" s="57"/>
      <c r="D530" s="58"/>
      <c r="E530" s="59"/>
      <c r="F530" s="60"/>
    </row>
    <row r="531">
      <c r="A531" s="57"/>
      <c r="D531" s="58"/>
      <c r="E531" s="59"/>
      <c r="F531" s="60"/>
    </row>
    <row r="532">
      <c r="A532" s="57"/>
      <c r="D532" s="58"/>
      <c r="E532" s="59"/>
      <c r="F532" s="60"/>
    </row>
    <row r="533">
      <c r="A533" s="57"/>
      <c r="D533" s="58"/>
      <c r="E533" s="59"/>
      <c r="F533" s="60"/>
    </row>
    <row r="534">
      <c r="A534" s="57"/>
      <c r="D534" s="58"/>
      <c r="E534" s="59"/>
      <c r="F534" s="60"/>
    </row>
    <row r="535">
      <c r="A535" s="57"/>
      <c r="D535" s="58"/>
      <c r="E535" s="59"/>
      <c r="F535" s="60"/>
    </row>
    <row r="536">
      <c r="A536" s="57"/>
      <c r="D536" s="58"/>
      <c r="E536" s="59"/>
      <c r="F536" s="60"/>
    </row>
    <row r="537">
      <c r="A537" s="57"/>
      <c r="D537" s="58"/>
      <c r="E537" s="59"/>
      <c r="F537" s="60"/>
    </row>
    <row r="538">
      <c r="A538" s="57"/>
      <c r="D538" s="58"/>
      <c r="E538" s="59"/>
      <c r="F538" s="60"/>
    </row>
    <row r="539">
      <c r="A539" s="57"/>
      <c r="D539" s="58"/>
      <c r="E539" s="59"/>
      <c r="F539" s="60"/>
    </row>
    <row r="540">
      <c r="A540" s="57"/>
      <c r="D540" s="58"/>
      <c r="E540" s="59"/>
      <c r="F540" s="60"/>
    </row>
    <row r="541">
      <c r="A541" s="57"/>
      <c r="D541" s="58"/>
      <c r="E541" s="59"/>
      <c r="F541" s="60"/>
    </row>
    <row r="542">
      <c r="A542" s="57"/>
      <c r="D542" s="58"/>
      <c r="E542" s="59"/>
      <c r="F542" s="60"/>
    </row>
    <row r="543">
      <c r="A543" s="57"/>
      <c r="D543" s="58"/>
      <c r="E543" s="59"/>
      <c r="F543" s="60"/>
    </row>
    <row r="544">
      <c r="A544" s="57"/>
      <c r="D544" s="58"/>
      <c r="E544" s="59"/>
      <c r="F544" s="60"/>
    </row>
    <row r="545">
      <c r="A545" s="57"/>
      <c r="D545" s="58"/>
      <c r="E545" s="59"/>
      <c r="F545" s="60"/>
    </row>
    <row r="546">
      <c r="A546" s="57"/>
      <c r="D546" s="58"/>
      <c r="E546" s="59"/>
      <c r="F546" s="60"/>
    </row>
    <row r="547">
      <c r="A547" s="57"/>
      <c r="D547" s="58"/>
      <c r="E547" s="59"/>
      <c r="F547" s="60"/>
    </row>
    <row r="548">
      <c r="A548" s="57"/>
      <c r="D548" s="58"/>
      <c r="E548" s="59"/>
      <c r="F548" s="60"/>
    </row>
    <row r="549">
      <c r="A549" s="57"/>
      <c r="D549" s="58"/>
      <c r="E549" s="59"/>
      <c r="F549" s="60"/>
    </row>
    <row r="550">
      <c r="A550" s="57"/>
      <c r="D550" s="58"/>
      <c r="E550" s="59"/>
      <c r="F550" s="60"/>
    </row>
    <row r="551">
      <c r="A551" s="57"/>
      <c r="D551" s="58"/>
      <c r="E551" s="59"/>
      <c r="F551" s="60"/>
    </row>
    <row r="552">
      <c r="A552" s="57"/>
      <c r="D552" s="58"/>
      <c r="E552" s="59"/>
      <c r="F552" s="60"/>
    </row>
    <row r="553">
      <c r="A553" s="57"/>
      <c r="D553" s="58"/>
      <c r="E553" s="59"/>
      <c r="F553" s="60"/>
    </row>
    <row r="554">
      <c r="A554" s="57"/>
      <c r="D554" s="58"/>
      <c r="E554" s="59"/>
      <c r="F554" s="60"/>
    </row>
    <row r="555">
      <c r="A555" s="57"/>
      <c r="D555" s="58"/>
      <c r="E555" s="59"/>
      <c r="F555" s="60"/>
    </row>
    <row r="556">
      <c r="A556" s="57"/>
      <c r="D556" s="58"/>
      <c r="E556" s="59"/>
      <c r="F556" s="60"/>
    </row>
    <row r="557">
      <c r="A557" s="57"/>
      <c r="D557" s="58"/>
      <c r="E557" s="59"/>
      <c r="F557" s="60"/>
    </row>
    <row r="558">
      <c r="A558" s="57"/>
      <c r="D558" s="58"/>
      <c r="E558" s="59"/>
      <c r="F558" s="60"/>
    </row>
    <row r="559">
      <c r="A559" s="57"/>
      <c r="D559" s="58"/>
      <c r="E559" s="59"/>
      <c r="F559" s="60"/>
    </row>
    <row r="560">
      <c r="A560" s="57"/>
      <c r="D560" s="58"/>
      <c r="E560" s="59"/>
      <c r="F560" s="60"/>
    </row>
    <row r="561">
      <c r="A561" s="57"/>
      <c r="D561" s="58"/>
      <c r="E561" s="59"/>
      <c r="F561" s="60"/>
    </row>
    <row r="562">
      <c r="A562" s="57"/>
      <c r="D562" s="58"/>
      <c r="E562" s="59"/>
      <c r="F562" s="60"/>
    </row>
    <row r="563">
      <c r="A563" s="57"/>
      <c r="D563" s="58"/>
      <c r="E563" s="59"/>
      <c r="F563" s="60"/>
    </row>
    <row r="564">
      <c r="A564" s="57"/>
      <c r="D564" s="58"/>
      <c r="E564" s="59"/>
      <c r="F564" s="60"/>
    </row>
    <row r="565">
      <c r="A565" s="57"/>
      <c r="D565" s="58"/>
      <c r="E565" s="59"/>
      <c r="F565" s="60"/>
    </row>
    <row r="566">
      <c r="A566" s="57"/>
      <c r="D566" s="58"/>
      <c r="E566" s="59"/>
      <c r="F566" s="60"/>
    </row>
    <row r="567">
      <c r="A567" s="57"/>
      <c r="D567" s="58"/>
      <c r="E567" s="59"/>
      <c r="F567" s="60"/>
    </row>
    <row r="568">
      <c r="A568" s="57"/>
      <c r="D568" s="58"/>
      <c r="E568" s="59"/>
      <c r="F568" s="60"/>
    </row>
    <row r="569">
      <c r="A569" s="57"/>
      <c r="D569" s="58"/>
      <c r="E569" s="59"/>
      <c r="F569" s="60"/>
    </row>
    <row r="570">
      <c r="A570" s="57"/>
      <c r="D570" s="58"/>
      <c r="E570" s="59"/>
      <c r="F570" s="60"/>
    </row>
    <row r="571">
      <c r="A571" s="57"/>
      <c r="D571" s="58"/>
      <c r="E571" s="59"/>
      <c r="F571" s="60"/>
    </row>
    <row r="572">
      <c r="A572" s="57"/>
      <c r="D572" s="58"/>
      <c r="E572" s="59"/>
      <c r="F572" s="60"/>
    </row>
    <row r="573">
      <c r="A573" s="57"/>
      <c r="D573" s="58"/>
      <c r="E573" s="59"/>
      <c r="F573" s="60"/>
    </row>
    <row r="574">
      <c r="A574" s="57"/>
      <c r="D574" s="58"/>
      <c r="E574" s="59"/>
      <c r="F574" s="60"/>
    </row>
    <row r="575">
      <c r="A575" s="57"/>
      <c r="D575" s="58"/>
      <c r="E575" s="59"/>
      <c r="F575" s="60"/>
    </row>
    <row r="576">
      <c r="A576" s="57"/>
      <c r="D576" s="58"/>
      <c r="E576" s="59"/>
      <c r="F576" s="60"/>
    </row>
    <row r="577">
      <c r="A577" s="57"/>
      <c r="D577" s="58"/>
      <c r="E577" s="59"/>
      <c r="F577" s="60"/>
    </row>
    <row r="578">
      <c r="A578" s="57"/>
      <c r="D578" s="58"/>
      <c r="E578" s="59"/>
      <c r="F578" s="60"/>
    </row>
    <row r="579">
      <c r="A579" s="57"/>
      <c r="D579" s="58"/>
      <c r="E579" s="59"/>
      <c r="F579" s="60"/>
    </row>
    <row r="580">
      <c r="A580" s="57"/>
      <c r="D580" s="58"/>
      <c r="E580" s="59"/>
      <c r="F580" s="60"/>
    </row>
    <row r="581">
      <c r="A581" s="57"/>
      <c r="D581" s="58"/>
      <c r="E581" s="59"/>
      <c r="F581" s="60"/>
    </row>
    <row r="582">
      <c r="A582" s="57"/>
      <c r="D582" s="58"/>
      <c r="E582" s="59"/>
      <c r="F582" s="60"/>
    </row>
    <row r="583">
      <c r="A583" s="57"/>
      <c r="D583" s="58"/>
      <c r="E583" s="59"/>
      <c r="F583" s="60"/>
    </row>
    <row r="584">
      <c r="A584" s="57"/>
      <c r="D584" s="58"/>
      <c r="E584" s="59"/>
      <c r="F584" s="60"/>
    </row>
    <row r="585">
      <c r="A585" s="57"/>
      <c r="D585" s="58"/>
      <c r="E585" s="59"/>
      <c r="F585" s="60"/>
    </row>
    <row r="586">
      <c r="A586" s="57"/>
      <c r="D586" s="58"/>
      <c r="E586" s="59"/>
      <c r="F586" s="60"/>
    </row>
    <row r="587">
      <c r="A587" s="57"/>
      <c r="D587" s="58"/>
      <c r="E587" s="59"/>
      <c r="F587" s="60"/>
    </row>
    <row r="588">
      <c r="A588" s="57"/>
      <c r="D588" s="58"/>
      <c r="E588" s="59"/>
      <c r="F588" s="60"/>
    </row>
    <row r="589">
      <c r="A589" s="57"/>
      <c r="D589" s="58"/>
      <c r="E589" s="59"/>
      <c r="F589" s="60"/>
    </row>
    <row r="590">
      <c r="A590" s="57"/>
      <c r="D590" s="58"/>
      <c r="E590" s="59"/>
      <c r="F590" s="60"/>
    </row>
    <row r="591">
      <c r="A591" s="57"/>
      <c r="D591" s="58"/>
      <c r="E591" s="59"/>
      <c r="F591" s="60"/>
    </row>
    <row r="592">
      <c r="A592" s="57"/>
      <c r="D592" s="58"/>
      <c r="E592" s="59"/>
      <c r="F592" s="60"/>
    </row>
    <row r="593">
      <c r="A593" s="57"/>
      <c r="D593" s="58"/>
      <c r="E593" s="59"/>
      <c r="F593" s="60"/>
    </row>
    <row r="594">
      <c r="A594" s="57"/>
      <c r="D594" s="58"/>
      <c r="E594" s="59"/>
      <c r="F594" s="60"/>
    </row>
    <row r="595">
      <c r="A595" s="57"/>
      <c r="D595" s="58"/>
      <c r="E595" s="59"/>
      <c r="F595" s="60"/>
    </row>
    <row r="596">
      <c r="A596" s="57"/>
      <c r="D596" s="58"/>
      <c r="E596" s="59"/>
      <c r="F596" s="60"/>
    </row>
    <row r="597">
      <c r="A597" s="57"/>
      <c r="D597" s="58"/>
      <c r="E597" s="59"/>
      <c r="F597" s="60"/>
    </row>
    <row r="598">
      <c r="A598" s="57"/>
      <c r="D598" s="58"/>
      <c r="E598" s="59"/>
      <c r="F598" s="60"/>
    </row>
    <row r="599">
      <c r="A599" s="57"/>
      <c r="D599" s="58"/>
      <c r="E599" s="59"/>
      <c r="F599" s="60"/>
    </row>
    <row r="600">
      <c r="A600" s="57"/>
      <c r="D600" s="58"/>
      <c r="E600" s="59"/>
      <c r="F600" s="60"/>
    </row>
    <row r="601">
      <c r="A601" s="57"/>
      <c r="D601" s="58"/>
      <c r="E601" s="59"/>
      <c r="F601" s="60"/>
    </row>
    <row r="602">
      <c r="A602" s="57"/>
      <c r="D602" s="58"/>
      <c r="E602" s="59"/>
      <c r="F602" s="60"/>
    </row>
    <row r="603">
      <c r="A603" s="57"/>
      <c r="D603" s="58"/>
      <c r="E603" s="59"/>
      <c r="F603" s="60"/>
    </row>
    <row r="604">
      <c r="A604" s="57"/>
      <c r="D604" s="58"/>
      <c r="E604" s="59"/>
      <c r="F604" s="60"/>
    </row>
    <row r="605">
      <c r="A605" s="57"/>
      <c r="D605" s="58"/>
      <c r="E605" s="59"/>
      <c r="F605" s="60"/>
    </row>
    <row r="606">
      <c r="A606" s="57"/>
      <c r="D606" s="58"/>
      <c r="E606" s="59"/>
      <c r="F606" s="60"/>
    </row>
    <row r="607">
      <c r="A607" s="57"/>
      <c r="D607" s="58"/>
      <c r="E607" s="59"/>
      <c r="F607" s="60"/>
    </row>
    <row r="608">
      <c r="A608" s="57"/>
      <c r="D608" s="58"/>
      <c r="E608" s="59"/>
      <c r="F608" s="60"/>
    </row>
    <row r="609">
      <c r="A609" s="57"/>
      <c r="D609" s="58"/>
      <c r="E609" s="59"/>
      <c r="F609" s="60"/>
    </row>
    <row r="610">
      <c r="A610" s="57"/>
      <c r="D610" s="58"/>
      <c r="E610" s="59"/>
      <c r="F610" s="60"/>
    </row>
    <row r="611">
      <c r="A611" s="57"/>
      <c r="D611" s="58"/>
      <c r="E611" s="59"/>
      <c r="F611" s="60"/>
    </row>
    <row r="612">
      <c r="A612" s="57"/>
      <c r="D612" s="58"/>
      <c r="E612" s="59"/>
      <c r="F612" s="60"/>
    </row>
    <row r="613">
      <c r="A613" s="57"/>
      <c r="D613" s="58"/>
      <c r="E613" s="59"/>
      <c r="F613" s="60"/>
    </row>
    <row r="614">
      <c r="A614" s="57"/>
      <c r="D614" s="58"/>
      <c r="E614" s="59"/>
      <c r="F614" s="60"/>
    </row>
    <row r="615">
      <c r="A615" s="57"/>
      <c r="D615" s="58"/>
      <c r="E615" s="59"/>
      <c r="F615" s="60"/>
    </row>
    <row r="616">
      <c r="A616" s="57"/>
      <c r="D616" s="58"/>
      <c r="E616" s="59"/>
      <c r="F616" s="60"/>
    </row>
    <row r="617">
      <c r="A617" s="57"/>
      <c r="D617" s="58"/>
      <c r="E617" s="59"/>
      <c r="F617" s="60"/>
    </row>
    <row r="618">
      <c r="A618" s="57"/>
      <c r="D618" s="58"/>
      <c r="E618" s="59"/>
      <c r="F618" s="60"/>
    </row>
    <row r="619">
      <c r="A619" s="57"/>
      <c r="D619" s="58"/>
      <c r="E619" s="59"/>
      <c r="F619" s="60"/>
    </row>
    <row r="620">
      <c r="A620" s="57"/>
      <c r="D620" s="58"/>
      <c r="E620" s="59"/>
      <c r="F620" s="60"/>
    </row>
    <row r="621">
      <c r="A621" s="57"/>
      <c r="D621" s="58"/>
      <c r="E621" s="59"/>
      <c r="F621" s="60"/>
    </row>
    <row r="622">
      <c r="A622" s="57"/>
      <c r="D622" s="58"/>
      <c r="E622" s="59"/>
      <c r="F622" s="60"/>
    </row>
    <row r="623">
      <c r="A623" s="57"/>
      <c r="D623" s="58"/>
      <c r="E623" s="59"/>
      <c r="F623" s="60"/>
    </row>
    <row r="624">
      <c r="A624" s="57"/>
      <c r="D624" s="58"/>
      <c r="E624" s="59"/>
      <c r="F624" s="60"/>
    </row>
    <row r="625">
      <c r="A625" s="57"/>
      <c r="D625" s="58"/>
      <c r="E625" s="59"/>
      <c r="F625" s="60"/>
    </row>
    <row r="626">
      <c r="A626" s="57"/>
      <c r="D626" s="58"/>
      <c r="E626" s="59"/>
      <c r="F626" s="60"/>
    </row>
    <row r="627">
      <c r="A627" s="57"/>
      <c r="D627" s="58"/>
      <c r="E627" s="59"/>
      <c r="F627" s="60"/>
    </row>
    <row r="628">
      <c r="A628" s="57"/>
      <c r="D628" s="58"/>
      <c r="E628" s="59"/>
      <c r="F628" s="60"/>
    </row>
    <row r="629">
      <c r="A629" s="57"/>
      <c r="D629" s="58"/>
      <c r="E629" s="59"/>
      <c r="F629" s="60"/>
    </row>
    <row r="630">
      <c r="A630" s="57"/>
      <c r="D630" s="58"/>
      <c r="E630" s="59"/>
      <c r="F630" s="60"/>
    </row>
    <row r="631">
      <c r="A631" s="57"/>
      <c r="D631" s="58"/>
      <c r="E631" s="59"/>
      <c r="F631" s="60"/>
    </row>
    <row r="632">
      <c r="A632" s="57"/>
      <c r="D632" s="58"/>
      <c r="E632" s="59"/>
      <c r="F632" s="60"/>
    </row>
    <row r="633">
      <c r="A633" s="57"/>
      <c r="D633" s="58"/>
      <c r="E633" s="59"/>
      <c r="F633" s="60"/>
    </row>
    <row r="634">
      <c r="A634" s="57"/>
      <c r="D634" s="58"/>
      <c r="E634" s="59"/>
      <c r="F634" s="60"/>
    </row>
    <row r="635">
      <c r="A635" s="57"/>
      <c r="D635" s="58"/>
      <c r="E635" s="59"/>
      <c r="F635" s="60"/>
    </row>
    <row r="636">
      <c r="A636" s="57"/>
      <c r="D636" s="58"/>
      <c r="E636" s="59"/>
      <c r="F636" s="60"/>
    </row>
    <row r="637">
      <c r="A637" s="57"/>
      <c r="D637" s="58"/>
      <c r="E637" s="59"/>
      <c r="F637" s="60"/>
    </row>
    <row r="638">
      <c r="A638" s="57"/>
      <c r="D638" s="58"/>
      <c r="E638" s="59"/>
      <c r="F638" s="60"/>
    </row>
    <row r="639">
      <c r="A639" s="57"/>
      <c r="D639" s="58"/>
      <c r="E639" s="59"/>
      <c r="F639" s="60"/>
    </row>
    <row r="640">
      <c r="A640" s="57"/>
      <c r="D640" s="58"/>
      <c r="E640" s="59"/>
      <c r="F640" s="60"/>
    </row>
    <row r="641">
      <c r="A641" s="57"/>
      <c r="D641" s="58"/>
      <c r="E641" s="59"/>
      <c r="F641" s="60"/>
    </row>
    <row r="642">
      <c r="A642" s="57"/>
      <c r="D642" s="58"/>
      <c r="E642" s="59"/>
      <c r="F642" s="60"/>
    </row>
    <row r="643">
      <c r="A643" s="57"/>
      <c r="D643" s="58"/>
      <c r="E643" s="59"/>
      <c r="F643" s="60"/>
    </row>
    <row r="644">
      <c r="A644" s="57"/>
      <c r="D644" s="58"/>
      <c r="E644" s="59"/>
      <c r="F644" s="60"/>
    </row>
    <row r="645">
      <c r="A645" s="57"/>
      <c r="D645" s="58"/>
      <c r="E645" s="59"/>
      <c r="F645" s="60"/>
    </row>
    <row r="646">
      <c r="A646" s="57"/>
      <c r="D646" s="58"/>
      <c r="E646" s="59"/>
      <c r="F646" s="60"/>
    </row>
    <row r="647">
      <c r="A647" s="57"/>
      <c r="D647" s="58"/>
      <c r="E647" s="59"/>
      <c r="F647" s="60"/>
    </row>
    <row r="648">
      <c r="A648" s="57"/>
      <c r="D648" s="58"/>
      <c r="E648" s="59"/>
      <c r="F648" s="60"/>
    </row>
    <row r="649">
      <c r="A649" s="57"/>
      <c r="D649" s="58"/>
      <c r="E649" s="59"/>
      <c r="F649" s="60"/>
    </row>
    <row r="650">
      <c r="A650" s="57"/>
      <c r="D650" s="58"/>
      <c r="E650" s="59"/>
      <c r="F650" s="60"/>
    </row>
    <row r="651">
      <c r="A651" s="57"/>
      <c r="D651" s="58"/>
      <c r="E651" s="59"/>
      <c r="F651" s="60"/>
    </row>
    <row r="652">
      <c r="A652" s="57"/>
      <c r="D652" s="58"/>
      <c r="E652" s="59"/>
      <c r="F652" s="60"/>
    </row>
    <row r="653">
      <c r="A653" s="57"/>
      <c r="D653" s="58"/>
      <c r="E653" s="59"/>
      <c r="F653" s="60"/>
    </row>
    <row r="654">
      <c r="A654" s="57"/>
      <c r="D654" s="58"/>
      <c r="E654" s="59"/>
      <c r="F654" s="60"/>
    </row>
    <row r="655">
      <c r="A655" s="57"/>
      <c r="D655" s="58"/>
      <c r="E655" s="59"/>
      <c r="F655" s="60"/>
    </row>
    <row r="656">
      <c r="A656" s="57"/>
      <c r="D656" s="58"/>
      <c r="E656" s="59"/>
      <c r="F656" s="60"/>
    </row>
    <row r="657">
      <c r="A657" s="57"/>
      <c r="D657" s="58"/>
      <c r="E657" s="59"/>
      <c r="F657" s="60"/>
    </row>
    <row r="658">
      <c r="A658" s="57"/>
      <c r="D658" s="58"/>
      <c r="E658" s="59"/>
      <c r="F658" s="60"/>
    </row>
    <row r="659">
      <c r="A659" s="57"/>
      <c r="D659" s="58"/>
      <c r="E659" s="59"/>
      <c r="F659" s="60"/>
    </row>
    <row r="660">
      <c r="A660" s="57"/>
      <c r="D660" s="58"/>
      <c r="E660" s="59"/>
      <c r="F660" s="60"/>
    </row>
    <row r="661">
      <c r="A661" s="57"/>
      <c r="D661" s="58"/>
      <c r="E661" s="59"/>
      <c r="F661" s="60"/>
    </row>
    <row r="662">
      <c r="A662" s="57"/>
      <c r="D662" s="58"/>
      <c r="E662" s="59"/>
      <c r="F662" s="60"/>
    </row>
    <row r="663">
      <c r="A663" s="57"/>
      <c r="D663" s="58"/>
      <c r="E663" s="59"/>
      <c r="F663" s="60"/>
    </row>
    <row r="664">
      <c r="A664" s="57"/>
      <c r="D664" s="58"/>
      <c r="E664" s="59"/>
      <c r="F664" s="60"/>
    </row>
    <row r="665">
      <c r="A665" s="57"/>
      <c r="D665" s="58"/>
      <c r="E665" s="59"/>
      <c r="F665" s="60"/>
    </row>
    <row r="666">
      <c r="A666" s="57"/>
      <c r="D666" s="58"/>
      <c r="E666" s="59"/>
      <c r="F666" s="60"/>
    </row>
    <row r="667">
      <c r="A667" s="57"/>
      <c r="D667" s="58"/>
      <c r="E667" s="59"/>
      <c r="F667" s="60"/>
    </row>
    <row r="668">
      <c r="A668" s="57"/>
      <c r="D668" s="58"/>
      <c r="E668" s="59"/>
      <c r="F668" s="60"/>
    </row>
    <row r="669">
      <c r="A669" s="57"/>
      <c r="D669" s="58"/>
      <c r="E669" s="59"/>
      <c r="F669" s="60"/>
    </row>
    <row r="670">
      <c r="A670" s="57"/>
      <c r="D670" s="58"/>
      <c r="E670" s="59"/>
      <c r="F670" s="60"/>
    </row>
    <row r="671">
      <c r="A671" s="57"/>
      <c r="D671" s="58"/>
      <c r="E671" s="59"/>
      <c r="F671" s="60"/>
    </row>
    <row r="672">
      <c r="A672" s="57"/>
      <c r="D672" s="58"/>
      <c r="E672" s="59"/>
      <c r="F672" s="60"/>
    </row>
    <row r="673">
      <c r="A673" s="57"/>
      <c r="D673" s="58"/>
      <c r="E673" s="59"/>
      <c r="F673" s="60"/>
    </row>
    <row r="674">
      <c r="A674" s="57"/>
      <c r="D674" s="58"/>
      <c r="E674" s="59"/>
      <c r="F674" s="60"/>
    </row>
    <row r="675">
      <c r="A675" s="57"/>
      <c r="D675" s="58"/>
      <c r="E675" s="59"/>
      <c r="F675" s="60"/>
    </row>
    <row r="676">
      <c r="A676" s="57"/>
      <c r="D676" s="58"/>
      <c r="E676" s="59"/>
      <c r="F676" s="60"/>
    </row>
    <row r="677">
      <c r="A677" s="57"/>
      <c r="D677" s="58"/>
      <c r="E677" s="59"/>
      <c r="F677" s="60"/>
    </row>
    <row r="678">
      <c r="A678" s="57"/>
      <c r="D678" s="58"/>
      <c r="E678" s="59"/>
      <c r="F678" s="60"/>
    </row>
    <row r="679">
      <c r="A679" s="57"/>
      <c r="D679" s="58"/>
      <c r="E679" s="59"/>
      <c r="F679" s="60"/>
    </row>
    <row r="680">
      <c r="A680" s="57"/>
      <c r="D680" s="58"/>
      <c r="E680" s="59"/>
      <c r="F680" s="60"/>
    </row>
    <row r="681">
      <c r="A681" s="57"/>
      <c r="D681" s="58"/>
      <c r="E681" s="59"/>
      <c r="F681" s="60"/>
    </row>
    <row r="682">
      <c r="A682" s="57"/>
      <c r="D682" s="58"/>
      <c r="E682" s="59"/>
      <c r="F682" s="60"/>
    </row>
    <row r="683">
      <c r="A683" s="57"/>
      <c r="D683" s="58"/>
      <c r="E683" s="59"/>
      <c r="F683" s="60"/>
    </row>
    <row r="684">
      <c r="A684" s="57"/>
      <c r="D684" s="58"/>
      <c r="E684" s="59"/>
      <c r="F684" s="60"/>
    </row>
    <row r="685">
      <c r="A685" s="57"/>
      <c r="D685" s="58"/>
      <c r="E685" s="59"/>
      <c r="F685" s="60"/>
    </row>
    <row r="686">
      <c r="A686" s="57"/>
      <c r="D686" s="58"/>
      <c r="E686" s="59"/>
      <c r="F686" s="60"/>
    </row>
    <row r="687">
      <c r="A687" s="57"/>
      <c r="D687" s="58"/>
      <c r="E687" s="59"/>
      <c r="F687" s="60"/>
    </row>
    <row r="688">
      <c r="A688" s="57"/>
      <c r="D688" s="58"/>
      <c r="E688" s="59"/>
      <c r="F688" s="60"/>
    </row>
    <row r="689">
      <c r="A689" s="57"/>
      <c r="D689" s="58"/>
      <c r="E689" s="59"/>
      <c r="F689" s="60"/>
    </row>
    <row r="690">
      <c r="A690" s="57"/>
      <c r="D690" s="58"/>
      <c r="E690" s="59"/>
      <c r="F690" s="60"/>
    </row>
    <row r="691">
      <c r="A691" s="57"/>
      <c r="D691" s="58"/>
      <c r="E691" s="59"/>
      <c r="F691" s="60"/>
    </row>
    <row r="692">
      <c r="A692" s="57"/>
      <c r="D692" s="58"/>
      <c r="E692" s="59"/>
      <c r="F692" s="60"/>
    </row>
    <row r="693">
      <c r="A693" s="57"/>
      <c r="D693" s="58"/>
      <c r="E693" s="59"/>
      <c r="F693" s="60"/>
    </row>
    <row r="694">
      <c r="A694" s="57"/>
      <c r="D694" s="58"/>
      <c r="E694" s="59"/>
      <c r="F694" s="60"/>
    </row>
    <row r="695">
      <c r="A695" s="57"/>
      <c r="D695" s="58"/>
      <c r="E695" s="59"/>
      <c r="F695" s="60"/>
    </row>
    <row r="696">
      <c r="A696" s="57"/>
      <c r="D696" s="58"/>
      <c r="E696" s="59"/>
      <c r="F696" s="60"/>
    </row>
    <row r="697">
      <c r="A697" s="57"/>
      <c r="D697" s="58"/>
      <c r="E697" s="59"/>
      <c r="F697" s="60"/>
    </row>
    <row r="698">
      <c r="A698" s="57"/>
      <c r="D698" s="58"/>
      <c r="E698" s="59"/>
      <c r="F698" s="60"/>
    </row>
    <row r="699">
      <c r="A699" s="57"/>
      <c r="D699" s="58"/>
      <c r="E699" s="59"/>
      <c r="F699" s="60"/>
    </row>
    <row r="700">
      <c r="A700" s="57"/>
      <c r="D700" s="58"/>
      <c r="E700" s="59"/>
      <c r="F700" s="60"/>
    </row>
    <row r="701">
      <c r="A701" s="57"/>
      <c r="D701" s="58"/>
      <c r="E701" s="59"/>
      <c r="F701" s="60"/>
    </row>
    <row r="702">
      <c r="A702" s="57"/>
      <c r="D702" s="58"/>
      <c r="E702" s="59"/>
      <c r="F702" s="60"/>
    </row>
    <row r="703">
      <c r="A703" s="57"/>
      <c r="D703" s="58"/>
      <c r="E703" s="59"/>
      <c r="F703" s="60"/>
    </row>
    <row r="704">
      <c r="A704" s="57"/>
      <c r="D704" s="58"/>
      <c r="E704" s="59"/>
      <c r="F704" s="60"/>
    </row>
    <row r="705">
      <c r="A705" s="57"/>
      <c r="D705" s="58"/>
      <c r="E705" s="59"/>
      <c r="F705" s="60"/>
    </row>
    <row r="706">
      <c r="A706" s="57"/>
      <c r="D706" s="58"/>
      <c r="E706" s="59"/>
      <c r="F706" s="60"/>
    </row>
    <row r="707">
      <c r="A707" s="57"/>
      <c r="D707" s="58"/>
      <c r="E707" s="59"/>
      <c r="F707" s="60"/>
    </row>
    <row r="708">
      <c r="A708" s="57"/>
      <c r="D708" s="58"/>
      <c r="E708" s="59"/>
      <c r="F708" s="60"/>
    </row>
    <row r="709">
      <c r="A709" s="57"/>
      <c r="D709" s="58"/>
      <c r="E709" s="59"/>
      <c r="F709" s="60"/>
    </row>
    <row r="710">
      <c r="A710" s="57"/>
      <c r="D710" s="58"/>
      <c r="E710" s="59"/>
      <c r="F710" s="60"/>
    </row>
    <row r="711">
      <c r="A711" s="57"/>
      <c r="D711" s="58"/>
      <c r="E711" s="59"/>
      <c r="F711" s="60"/>
    </row>
    <row r="712">
      <c r="A712" s="57"/>
      <c r="D712" s="58"/>
      <c r="E712" s="59"/>
      <c r="F712" s="60"/>
    </row>
    <row r="713">
      <c r="A713" s="57"/>
      <c r="D713" s="58"/>
      <c r="E713" s="59"/>
      <c r="F713" s="60"/>
    </row>
    <row r="714">
      <c r="A714" s="57"/>
      <c r="D714" s="58"/>
      <c r="E714" s="59"/>
      <c r="F714" s="60"/>
    </row>
    <row r="715">
      <c r="A715" s="57"/>
      <c r="D715" s="58"/>
      <c r="E715" s="59"/>
      <c r="F715" s="60"/>
    </row>
    <row r="716">
      <c r="A716" s="57"/>
      <c r="D716" s="58"/>
      <c r="E716" s="59"/>
      <c r="F716" s="60"/>
    </row>
    <row r="717">
      <c r="A717" s="57"/>
      <c r="D717" s="58"/>
      <c r="E717" s="59"/>
      <c r="F717" s="60"/>
    </row>
    <row r="718">
      <c r="A718" s="57"/>
      <c r="D718" s="58"/>
      <c r="E718" s="59"/>
      <c r="F718" s="60"/>
    </row>
    <row r="719">
      <c r="A719" s="57"/>
      <c r="D719" s="58"/>
      <c r="E719" s="59"/>
      <c r="F719" s="60"/>
    </row>
    <row r="720">
      <c r="A720" s="57"/>
      <c r="D720" s="58"/>
      <c r="E720" s="59"/>
      <c r="F720" s="60"/>
    </row>
    <row r="721">
      <c r="A721" s="57"/>
      <c r="D721" s="58"/>
      <c r="E721" s="59"/>
      <c r="F721" s="60"/>
    </row>
    <row r="722">
      <c r="A722" s="57"/>
      <c r="D722" s="58"/>
      <c r="E722" s="59"/>
      <c r="F722" s="60"/>
    </row>
    <row r="723">
      <c r="A723" s="57"/>
      <c r="D723" s="58"/>
      <c r="E723" s="59"/>
      <c r="F723" s="60"/>
    </row>
    <row r="724">
      <c r="A724" s="57"/>
      <c r="D724" s="58"/>
      <c r="E724" s="59"/>
      <c r="F724" s="60"/>
    </row>
    <row r="725">
      <c r="A725" s="57"/>
      <c r="D725" s="58"/>
      <c r="E725" s="59"/>
      <c r="F725" s="60"/>
    </row>
    <row r="726">
      <c r="A726" s="57"/>
      <c r="D726" s="58"/>
      <c r="E726" s="59"/>
      <c r="F726" s="60"/>
    </row>
    <row r="727">
      <c r="A727" s="57"/>
      <c r="D727" s="58"/>
      <c r="E727" s="59"/>
      <c r="F727" s="60"/>
    </row>
    <row r="728">
      <c r="A728" s="57"/>
      <c r="D728" s="58"/>
      <c r="E728" s="59"/>
      <c r="F728" s="60"/>
    </row>
    <row r="729">
      <c r="A729" s="57"/>
      <c r="D729" s="58"/>
      <c r="E729" s="59"/>
      <c r="F729" s="60"/>
    </row>
    <row r="730">
      <c r="A730" s="57"/>
      <c r="D730" s="58"/>
      <c r="E730" s="59"/>
      <c r="F730" s="60"/>
    </row>
    <row r="731">
      <c r="A731" s="57"/>
      <c r="D731" s="58"/>
      <c r="E731" s="59"/>
      <c r="F731" s="60"/>
    </row>
    <row r="732">
      <c r="A732" s="57"/>
      <c r="D732" s="58"/>
      <c r="E732" s="59"/>
      <c r="F732" s="60"/>
    </row>
    <row r="733">
      <c r="A733" s="57"/>
      <c r="D733" s="58"/>
      <c r="E733" s="59"/>
      <c r="F733" s="60"/>
    </row>
    <row r="734">
      <c r="A734" s="57"/>
      <c r="D734" s="58"/>
      <c r="E734" s="59"/>
      <c r="F734" s="60"/>
    </row>
    <row r="735">
      <c r="A735" s="57"/>
      <c r="D735" s="58"/>
      <c r="E735" s="59"/>
      <c r="F735" s="60"/>
    </row>
    <row r="736">
      <c r="A736" s="57"/>
      <c r="D736" s="58"/>
      <c r="E736" s="59"/>
      <c r="F736" s="60"/>
    </row>
    <row r="737">
      <c r="A737" s="57"/>
      <c r="D737" s="58"/>
      <c r="E737" s="59"/>
      <c r="F737" s="60"/>
    </row>
    <row r="738">
      <c r="A738" s="57"/>
      <c r="D738" s="58"/>
      <c r="E738" s="59"/>
      <c r="F738" s="60"/>
    </row>
    <row r="739">
      <c r="A739" s="57"/>
      <c r="D739" s="58"/>
      <c r="E739" s="59"/>
      <c r="F739" s="60"/>
    </row>
    <row r="740">
      <c r="A740" s="57"/>
      <c r="D740" s="58"/>
      <c r="E740" s="59"/>
      <c r="F740" s="60"/>
    </row>
    <row r="741">
      <c r="A741" s="57"/>
      <c r="D741" s="58"/>
      <c r="E741" s="59"/>
      <c r="F741" s="60"/>
    </row>
    <row r="742">
      <c r="A742" s="57"/>
      <c r="D742" s="58"/>
      <c r="E742" s="59"/>
      <c r="F742" s="60"/>
    </row>
    <row r="743">
      <c r="A743" s="57"/>
      <c r="D743" s="58"/>
      <c r="E743" s="59"/>
      <c r="F743" s="60"/>
    </row>
    <row r="744">
      <c r="A744" s="57"/>
      <c r="D744" s="58"/>
      <c r="E744" s="59"/>
      <c r="F744" s="60"/>
    </row>
    <row r="745">
      <c r="A745" s="57"/>
      <c r="D745" s="58"/>
      <c r="E745" s="59"/>
      <c r="F745" s="60"/>
    </row>
    <row r="746">
      <c r="A746" s="57"/>
      <c r="D746" s="58"/>
      <c r="E746" s="59"/>
      <c r="F746" s="60"/>
    </row>
    <row r="747">
      <c r="A747" s="57"/>
      <c r="D747" s="58"/>
      <c r="E747" s="59"/>
      <c r="F747" s="60"/>
    </row>
    <row r="748">
      <c r="A748" s="57"/>
      <c r="D748" s="58"/>
      <c r="E748" s="59"/>
      <c r="F748" s="60"/>
    </row>
    <row r="749">
      <c r="A749" s="57"/>
      <c r="D749" s="58"/>
      <c r="E749" s="59"/>
      <c r="F749" s="60"/>
    </row>
    <row r="750">
      <c r="A750" s="57"/>
      <c r="D750" s="58"/>
      <c r="E750" s="59"/>
      <c r="F750" s="60"/>
    </row>
    <row r="751">
      <c r="A751" s="57"/>
      <c r="D751" s="58"/>
      <c r="E751" s="59"/>
      <c r="F751" s="60"/>
    </row>
    <row r="752">
      <c r="A752" s="57"/>
      <c r="D752" s="58"/>
      <c r="E752" s="59"/>
      <c r="F752" s="60"/>
    </row>
    <row r="753">
      <c r="A753" s="57"/>
      <c r="D753" s="58"/>
      <c r="E753" s="59"/>
      <c r="F753" s="60"/>
    </row>
    <row r="754">
      <c r="A754" s="57"/>
      <c r="D754" s="58"/>
      <c r="E754" s="59"/>
      <c r="F754" s="60"/>
    </row>
    <row r="755">
      <c r="A755" s="57"/>
      <c r="D755" s="58"/>
      <c r="E755" s="59"/>
      <c r="F755" s="60"/>
    </row>
    <row r="756">
      <c r="A756" s="57"/>
      <c r="D756" s="58"/>
      <c r="E756" s="59"/>
      <c r="F756" s="60"/>
    </row>
    <row r="757">
      <c r="A757" s="57"/>
      <c r="D757" s="58"/>
      <c r="E757" s="59"/>
      <c r="F757" s="60"/>
    </row>
    <row r="758">
      <c r="A758" s="57"/>
      <c r="D758" s="58"/>
      <c r="E758" s="59"/>
      <c r="F758" s="60"/>
    </row>
    <row r="759">
      <c r="A759" s="57"/>
      <c r="D759" s="58"/>
      <c r="E759" s="59"/>
      <c r="F759" s="60"/>
    </row>
    <row r="760">
      <c r="A760" s="57"/>
      <c r="D760" s="58"/>
      <c r="E760" s="59"/>
      <c r="F760" s="60"/>
    </row>
    <row r="761">
      <c r="A761" s="57"/>
      <c r="D761" s="58"/>
      <c r="E761" s="59"/>
      <c r="F761" s="60"/>
    </row>
    <row r="762">
      <c r="A762" s="57"/>
      <c r="D762" s="58"/>
      <c r="E762" s="59"/>
      <c r="F762" s="60"/>
    </row>
    <row r="763">
      <c r="A763" s="57"/>
      <c r="D763" s="58"/>
      <c r="E763" s="59"/>
      <c r="F763" s="60"/>
    </row>
    <row r="764">
      <c r="A764" s="57"/>
      <c r="D764" s="58"/>
      <c r="E764" s="59"/>
      <c r="F764" s="60"/>
    </row>
    <row r="765">
      <c r="A765" s="57"/>
      <c r="D765" s="58"/>
      <c r="E765" s="59"/>
      <c r="F765" s="60"/>
    </row>
    <row r="766">
      <c r="A766" s="57"/>
      <c r="D766" s="58"/>
      <c r="E766" s="59"/>
      <c r="F766" s="60"/>
    </row>
    <row r="767">
      <c r="A767" s="57"/>
      <c r="D767" s="58"/>
      <c r="E767" s="59"/>
      <c r="F767" s="60"/>
    </row>
    <row r="768">
      <c r="A768" s="57"/>
      <c r="D768" s="58"/>
      <c r="E768" s="59"/>
      <c r="F768" s="60"/>
    </row>
    <row r="769">
      <c r="A769" s="57"/>
      <c r="D769" s="58"/>
      <c r="E769" s="59"/>
      <c r="F769" s="60"/>
    </row>
    <row r="770">
      <c r="A770" s="57"/>
      <c r="D770" s="58"/>
      <c r="E770" s="59"/>
      <c r="F770" s="60"/>
    </row>
    <row r="771">
      <c r="A771" s="57"/>
      <c r="D771" s="58"/>
      <c r="E771" s="59"/>
      <c r="F771" s="60"/>
    </row>
    <row r="772">
      <c r="A772" s="57"/>
      <c r="D772" s="58"/>
      <c r="E772" s="59"/>
      <c r="F772" s="60"/>
    </row>
    <row r="773">
      <c r="A773" s="57"/>
      <c r="D773" s="58"/>
      <c r="E773" s="59"/>
      <c r="F773" s="60"/>
    </row>
    <row r="774">
      <c r="A774" s="57"/>
      <c r="D774" s="58"/>
      <c r="E774" s="59"/>
      <c r="F774" s="60"/>
    </row>
    <row r="775">
      <c r="A775" s="57"/>
      <c r="D775" s="58"/>
      <c r="E775" s="59"/>
      <c r="F775" s="60"/>
    </row>
    <row r="776">
      <c r="A776" s="57"/>
      <c r="D776" s="58"/>
      <c r="E776" s="59"/>
      <c r="F776" s="60"/>
    </row>
    <row r="777">
      <c r="A777" s="57"/>
      <c r="D777" s="58"/>
      <c r="E777" s="59"/>
      <c r="F777" s="60"/>
    </row>
    <row r="778">
      <c r="A778" s="57"/>
      <c r="D778" s="58"/>
      <c r="E778" s="59"/>
      <c r="F778" s="60"/>
    </row>
    <row r="779">
      <c r="A779" s="57"/>
      <c r="D779" s="58"/>
      <c r="E779" s="59"/>
      <c r="F779" s="60"/>
    </row>
    <row r="780">
      <c r="A780" s="57"/>
      <c r="D780" s="58"/>
      <c r="E780" s="59"/>
      <c r="F780" s="60"/>
    </row>
    <row r="781">
      <c r="A781" s="57"/>
      <c r="D781" s="58"/>
      <c r="E781" s="59"/>
      <c r="F781" s="60"/>
    </row>
    <row r="782">
      <c r="A782" s="57"/>
      <c r="D782" s="58"/>
      <c r="E782" s="59"/>
      <c r="F782" s="60"/>
    </row>
    <row r="783">
      <c r="A783" s="57"/>
      <c r="D783" s="58"/>
      <c r="E783" s="59"/>
      <c r="F783" s="60"/>
    </row>
    <row r="784">
      <c r="A784" s="57"/>
      <c r="D784" s="58"/>
      <c r="E784" s="59"/>
      <c r="F784" s="60"/>
    </row>
    <row r="785">
      <c r="A785" s="57"/>
      <c r="D785" s="58"/>
      <c r="E785" s="59"/>
      <c r="F785" s="60"/>
    </row>
    <row r="786">
      <c r="A786" s="57"/>
      <c r="D786" s="58"/>
      <c r="E786" s="59"/>
      <c r="F786" s="60"/>
    </row>
    <row r="787">
      <c r="A787" s="57"/>
      <c r="D787" s="58"/>
      <c r="E787" s="59"/>
      <c r="F787" s="60"/>
    </row>
    <row r="788">
      <c r="A788" s="57"/>
      <c r="D788" s="58"/>
      <c r="E788" s="59"/>
      <c r="F788" s="60"/>
    </row>
    <row r="789">
      <c r="A789" s="57"/>
      <c r="D789" s="58"/>
      <c r="E789" s="59"/>
      <c r="F789" s="60"/>
    </row>
    <row r="790">
      <c r="A790" s="57"/>
      <c r="D790" s="58"/>
      <c r="E790" s="59"/>
      <c r="F790" s="60"/>
    </row>
    <row r="791">
      <c r="A791" s="57"/>
      <c r="D791" s="58"/>
      <c r="E791" s="59"/>
      <c r="F791" s="60"/>
    </row>
    <row r="792">
      <c r="A792" s="57"/>
      <c r="D792" s="58"/>
      <c r="E792" s="59"/>
      <c r="F792" s="60"/>
    </row>
    <row r="793">
      <c r="A793" s="57"/>
      <c r="D793" s="58"/>
      <c r="E793" s="59"/>
      <c r="F793" s="60"/>
    </row>
    <row r="794">
      <c r="A794" s="57"/>
      <c r="D794" s="58"/>
      <c r="E794" s="59"/>
      <c r="F794" s="60"/>
    </row>
    <row r="795">
      <c r="A795" s="57"/>
      <c r="D795" s="58"/>
      <c r="E795" s="59"/>
      <c r="F795" s="60"/>
    </row>
    <row r="796">
      <c r="A796" s="57"/>
      <c r="D796" s="58"/>
      <c r="E796" s="59"/>
      <c r="F796" s="60"/>
    </row>
    <row r="797">
      <c r="A797" s="57"/>
      <c r="D797" s="58"/>
      <c r="E797" s="59"/>
      <c r="F797" s="60"/>
    </row>
    <row r="798">
      <c r="A798" s="57"/>
      <c r="D798" s="58"/>
      <c r="E798" s="59"/>
      <c r="F798" s="60"/>
    </row>
    <row r="799">
      <c r="A799" s="57"/>
      <c r="D799" s="58"/>
      <c r="E799" s="59"/>
      <c r="F799" s="60"/>
    </row>
    <row r="800">
      <c r="A800" s="57"/>
      <c r="D800" s="58"/>
      <c r="E800" s="59"/>
      <c r="F800" s="60"/>
    </row>
    <row r="801">
      <c r="A801" s="57"/>
      <c r="D801" s="58"/>
      <c r="E801" s="59"/>
      <c r="F801" s="60"/>
    </row>
    <row r="802">
      <c r="A802" s="57"/>
      <c r="D802" s="58"/>
      <c r="E802" s="59"/>
      <c r="F802" s="60"/>
    </row>
    <row r="803">
      <c r="A803" s="57"/>
      <c r="D803" s="58"/>
      <c r="E803" s="59"/>
      <c r="F803" s="60"/>
    </row>
    <row r="804">
      <c r="A804" s="57"/>
      <c r="D804" s="58"/>
      <c r="E804" s="59"/>
      <c r="F804" s="60"/>
    </row>
    <row r="805">
      <c r="A805" s="57"/>
      <c r="D805" s="58"/>
      <c r="E805" s="59"/>
      <c r="F805" s="60"/>
    </row>
    <row r="806">
      <c r="A806" s="57"/>
      <c r="D806" s="58"/>
      <c r="E806" s="59"/>
      <c r="F806" s="60"/>
    </row>
    <row r="807">
      <c r="A807" s="57"/>
      <c r="D807" s="58"/>
      <c r="E807" s="59"/>
      <c r="F807" s="60"/>
    </row>
    <row r="808">
      <c r="A808" s="57"/>
      <c r="D808" s="58"/>
      <c r="E808" s="59"/>
      <c r="F808" s="60"/>
    </row>
    <row r="809">
      <c r="A809" s="57"/>
      <c r="D809" s="58"/>
      <c r="E809" s="59"/>
      <c r="F809" s="60"/>
    </row>
    <row r="810">
      <c r="A810" s="57"/>
      <c r="D810" s="58"/>
      <c r="E810" s="59"/>
      <c r="F810" s="60"/>
    </row>
    <row r="811">
      <c r="A811" s="57"/>
      <c r="D811" s="58"/>
      <c r="E811" s="59"/>
      <c r="F811" s="60"/>
    </row>
    <row r="812">
      <c r="A812" s="57"/>
      <c r="D812" s="58"/>
      <c r="E812" s="59"/>
      <c r="F812" s="60"/>
    </row>
    <row r="813">
      <c r="A813" s="57"/>
      <c r="D813" s="58"/>
      <c r="E813" s="59"/>
      <c r="F813" s="60"/>
    </row>
    <row r="814">
      <c r="A814" s="57"/>
      <c r="D814" s="58"/>
      <c r="E814" s="59"/>
      <c r="F814" s="60"/>
    </row>
    <row r="815">
      <c r="A815" s="57"/>
      <c r="D815" s="58"/>
      <c r="E815" s="59"/>
      <c r="F815" s="60"/>
    </row>
    <row r="816">
      <c r="A816" s="57"/>
      <c r="D816" s="58"/>
      <c r="E816" s="59"/>
      <c r="F816" s="60"/>
    </row>
    <row r="817">
      <c r="A817" s="57"/>
      <c r="D817" s="58"/>
      <c r="E817" s="59"/>
      <c r="F817" s="60"/>
    </row>
    <row r="818">
      <c r="A818" s="57"/>
      <c r="D818" s="58"/>
      <c r="E818" s="59"/>
      <c r="F818" s="60"/>
    </row>
    <row r="819">
      <c r="A819" s="57"/>
      <c r="D819" s="58"/>
      <c r="E819" s="59"/>
      <c r="F819" s="60"/>
    </row>
    <row r="820">
      <c r="A820" s="57"/>
      <c r="D820" s="58"/>
      <c r="E820" s="59"/>
      <c r="F820" s="60"/>
    </row>
    <row r="821">
      <c r="A821" s="57"/>
      <c r="D821" s="58"/>
      <c r="E821" s="59"/>
      <c r="F821" s="60"/>
    </row>
    <row r="822">
      <c r="A822" s="57"/>
      <c r="D822" s="58"/>
      <c r="E822" s="59"/>
      <c r="F822" s="60"/>
    </row>
    <row r="823">
      <c r="A823" s="57"/>
      <c r="D823" s="58"/>
      <c r="E823" s="59"/>
      <c r="F823" s="60"/>
    </row>
    <row r="824">
      <c r="A824" s="57"/>
      <c r="D824" s="58"/>
      <c r="E824" s="59"/>
      <c r="F824" s="60"/>
    </row>
    <row r="825">
      <c r="A825" s="57"/>
      <c r="D825" s="58"/>
      <c r="E825" s="59"/>
      <c r="F825" s="60"/>
    </row>
    <row r="826">
      <c r="A826" s="57"/>
      <c r="D826" s="58"/>
      <c r="E826" s="59"/>
      <c r="F826" s="60"/>
    </row>
    <row r="827">
      <c r="A827" s="57"/>
      <c r="D827" s="58"/>
      <c r="E827" s="59"/>
      <c r="F827" s="60"/>
    </row>
    <row r="828">
      <c r="A828" s="57"/>
      <c r="D828" s="58"/>
      <c r="E828" s="59"/>
      <c r="F828" s="60"/>
    </row>
    <row r="829">
      <c r="A829" s="57"/>
      <c r="D829" s="58"/>
      <c r="E829" s="59"/>
      <c r="F829" s="60"/>
    </row>
    <row r="830">
      <c r="A830" s="57"/>
      <c r="D830" s="58"/>
      <c r="E830" s="59"/>
      <c r="F830" s="60"/>
    </row>
    <row r="831">
      <c r="A831" s="57"/>
      <c r="D831" s="58"/>
      <c r="E831" s="59"/>
      <c r="F831" s="60"/>
    </row>
    <row r="832">
      <c r="A832" s="57"/>
      <c r="D832" s="58"/>
      <c r="E832" s="59"/>
      <c r="F832" s="60"/>
    </row>
    <row r="833">
      <c r="A833" s="57"/>
      <c r="D833" s="58"/>
      <c r="E833" s="59"/>
      <c r="F833" s="60"/>
    </row>
    <row r="834">
      <c r="A834" s="57"/>
      <c r="D834" s="58"/>
      <c r="E834" s="59"/>
      <c r="F834" s="60"/>
    </row>
    <row r="835">
      <c r="A835" s="57"/>
      <c r="D835" s="58"/>
      <c r="E835" s="59"/>
      <c r="F835" s="60"/>
    </row>
    <row r="836">
      <c r="A836" s="57"/>
      <c r="D836" s="58"/>
      <c r="E836" s="59"/>
      <c r="F836" s="60"/>
    </row>
    <row r="837">
      <c r="A837" s="57"/>
      <c r="D837" s="58"/>
      <c r="E837" s="59"/>
      <c r="F837" s="60"/>
    </row>
    <row r="838">
      <c r="A838" s="57"/>
      <c r="D838" s="58"/>
      <c r="E838" s="59"/>
      <c r="F838" s="60"/>
    </row>
    <row r="839">
      <c r="A839" s="57"/>
      <c r="D839" s="58"/>
      <c r="E839" s="59"/>
      <c r="F839" s="60"/>
    </row>
    <row r="840">
      <c r="A840" s="57"/>
      <c r="D840" s="58"/>
      <c r="E840" s="59"/>
      <c r="F840" s="60"/>
    </row>
    <row r="841">
      <c r="A841" s="57"/>
      <c r="D841" s="58"/>
      <c r="E841" s="59"/>
      <c r="F841" s="60"/>
    </row>
    <row r="842">
      <c r="A842" s="57"/>
      <c r="D842" s="58"/>
      <c r="E842" s="59"/>
      <c r="F842" s="60"/>
    </row>
    <row r="843">
      <c r="A843" s="57"/>
      <c r="D843" s="58"/>
      <c r="E843" s="59"/>
      <c r="F843" s="60"/>
    </row>
    <row r="844">
      <c r="A844" s="57"/>
      <c r="D844" s="58"/>
      <c r="E844" s="59"/>
      <c r="F844" s="60"/>
    </row>
    <row r="845">
      <c r="A845" s="57"/>
      <c r="D845" s="58"/>
      <c r="E845" s="59"/>
      <c r="F845" s="60"/>
    </row>
    <row r="846">
      <c r="A846" s="57"/>
      <c r="D846" s="58"/>
      <c r="E846" s="59"/>
      <c r="F846" s="60"/>
    </row>
    <row r="847">
      <c r="A847" s="57"/>
      <c r="D847" s="58"/>
      <c r="E847" s="59"/>
      <c r="F847" s="60"/>
    </row>
    <row r="848">
      <c r="A848" s="57"/>
      <c r="D848" s="58"/>
      <c r="E848" s="59"/>
      <c r="F848" s="60"/>
    </row>
    <row r="849">
      <c r="A849" s="57"/>
      <c r="D849" s="58"/>
      <c r="E849" s="59"/>
      <c r="F849" s="60"/>
    </row>
    <row r="850">
      <c r="A850" s="57"/>
      <c r="D850" s="58"/>
      <c r="E850" s="59"/>
      <c r="F850" s="60"/>
    </row>
    <row r="851">
      <c r="A851" s="57"/>
      <c r="D851" s="58"/>
      <c r="E851" s="59"/>
      <c r="F851" s="60"/>
    </row>
    <row r="852">
      <c r="A852" s="57"/>
      <c r="D852" s="58"/>
      <c r="E852" s="59"/>
      <c r="F852" s="60"/>
    </row>
    <row r="853">
      <c r="A853" s="57"/>
      <c r="D853" s="58"/>
      <c r="E853" s="59"/>
      <c r="F853" s="60"/>
    </row>
    <row r="854">
      <c r="A854" s="57"/>
      <c r="D854" s="58"/>
      <c r="E854" s="59"/>
      <c r="F854" s="60"/>
    </row>
    <row r="855">
      <c r="A855" s="57"/>
      <c r="D855" s="58"/>
      <c r="E855" s="59"/>
      <c r="F855" s="60"/>
    </row>
    <row r="856">
      <c r="A856" s="57"/>
      <c r="D856" s="58"/>
      <c r="E856" s="59"/>
      <c r="F856" s="60"/>
    </row>
    <row r="857">
      <c r="A857" s="57"/>
      <c r="D857" s="58"/>
      <c r="E857" s="59"/>
      <c r="F857" s="60"/>
    </row>
    <row r="858">
      <c r="A858" s="57"/>
      <c r="D858" s="58"/>
      <c r="E858" s="59"/>
      <c r="F858" s="60"/>
    </row>
    <row r="859">
      <c r="A859" s="57"/>
      <c r="D859" s="58"/>
      <c r="E859" s="59"/>
      <c r="F859" s="60"/>
    </row>
    <row r="860">
      <c r="A860" s="57"/>
      <c r="D860" s="58"/>
      <c r="E860" s="59"/>
      <c r="F860" s="60"/>
    </row>
    <row r="861">
      <c r="A861" s="57"/>
      <c r="D861" s="58"/>
      <c r="E861" s="59"/>
      <c r="F861" s="60"/>
    </row>
    <row r="862">
      <c r="A862" s="57"/>
      <c r="D862" s="58"/>
      <c r="E862" s="59"/>
      <c r="F862" s="60"/>
    </row>
    <row r="863">
      <c r="A863" s="57"/>
      <c r="D863" s="58"/>
      <c r="E863" s="59"/>
      <c r="F863" s="60"/>
    </row>
    <row r="864">
      <c r="A864" s="57"/>
      <c r="D864" s="58"/>
      <c r="E864" s="59"/>
      <c r="F864" s="60"/>
    </row>
    <row r="865">
      <c r="A865" s="57"/>
      <c r="D865" s="58"/>
      <c r="E865" s="59"/>
      <c r="F865" s="60"/>
    </row>
    <row r="866">
      <c r="A866" s="57"/>
      <c r="D866" s="58"/>
      <c r="E866" s="59"/>
      <c r="F866" s="60"/>
    </row>
    <row r="867">
      <c r="A867" s="57"/>
      <c r="D867" s="58"/>
      <c r="E867" s="59"/>
      <c r="F867" s="60"/>
    </row>
    <row r="868">
      <c r="A868" s="57"/>
      <c r="D868" s="58"/>
      <c r="E868" s="59"/>
      <c r="F868" s="60"/>
    </row>
    <row r="869">
      <c r="A869" s="57"/>
      <c r="D869" s="58"/>
      <c r="E869" s="59"/>
      <c r="F869" s="60"/>
    </row>
    <row r="870">
      <c r="A870" s="57"/>
      <c r="D870" s="58"/>
      <c r="E870" s="59"/>
      <c r="F870" s="60"/>
    </row>
    <row r="871">
      <c r="A871" s="57"/>
      <c r="D871" s="58"/>
      <c r="E871" s="59"/>
      <c r="F871" s="60"/>
    </row>
    <row r="872">
      <c r="A872" s="57"/>
      <c r="D872" s="58"/>
      <c r="E872" s="59"/>
      <c r="F872" s="60"/>
    </row>
    <row r="873">
      <c r="A873" s="57"/>
      <c r="D873" s="58"/>
      <c r="E873" s="59"/>
      <c r="F873" s="60"/>
    </row>
    <row r="874">
      <c r="A874" s="57"/>
      <c r="D874" s="58"/>
      <c r="E874" s="59"/>
      <c r="F874" s="60"/>
    </row>
    <row r="875">
      <c r="A875" s="57"/>
      <c r="D875" s="58"/>
      <c r="E875" s="59"/>
      <c r="F875" s="60"/>
    </row>
    <row r="876">
      <c r="A876" s="57"/>
      <c r="D876" s="58"/>
      <c r="E876" s="59"/>
      <c r="F876" s="60"/>
    </row>
    <row r="877">
      <c r="A877" s="57"/>
      <c r="D877" s="58"/>
      <c r="E877" s="59"/>
      <c r="F877" s="60"/>
    </row>
    <row r="878">
      <c r="A878" s="57"/>
      <c r="D878" s="58"/>
      <c r="E878" s="59"/>
      <c r="F878" s="60"/>
    </row>
    <row r="879">
      <c r="A879" s="57"/>
      <c r="D879" s="58"/>
      <c r="E879" s="59"/>
      <c r="F879" s="60"/>
    </row>
    <row r="880">
      <c r="A880" s="57"/>
      <c r="D880" s="58"/>
      <c r="E880" s="59"/>
      <c r="F880" s="60"/>
    </row>
    <row r="881">
      <c r="A881" s="57"/>
      <c r="D881" s="58"/>
      <c r="E881" s="59"/>
      <c r="F881" s="60"/>
    </row>
    <row r="882">
      <c r="A882" s="57"/>
      <c r="D882" s="58"/>
      <c r="E882" s="59"/>
      <c r="F882" s="60"/>
    </row>
    <row r="883">
      <c r="A883" s="57"/>
      <c r="D883" s="58"/>
      <c r="E883" s="59"/>
      <c r="F883" s="60"/>
    </row>
    <row r="884">
      <c r="A884" s="57"/>
      <c r="D884" s="58"/>
      <c r="E884" s="59"/>
      <c r="F884" s="60"/>
    </row>
    <row r="885">
      <c r="A885" s="57"/>
      <c r="D885" s="58"/>
      <c r="E885" s="59"/>
      <c r="F885" s="60"/>
    </row>
    <row r="886">
      <c r="A886" s="57"/>
      <c r="D886" s="58"/>
      <c r="E886" s="59"/>
      <c r="F886" s="60"/>
    </row>
    <row r="887">
      <c r="A887" s="57"/>
      <c r="D887" s="58"/>
      <c r="E887" s="59"/>
      <c r="F887" s="60"/>
    </row>
    <row r="888">
      <c r="A888" s="57"/>
      <c r="D888" s="58"/>
      <c r="E888" s="59"/>
      <c r="F888" s="60"/>
    </row>
    <row r="889">
      <c r="A889" s="57"/>
      <c r="D889" s="58"/>
      <c r="E889" s="59"/>
      <c r="F889" s="60"/>
    </row>
    <row r="890">
      <c r="A890" s="57"/>
      <c r="D890" s="58"/>
      <c r="E890" s="59"/>
      <c r="F890" s="60"/>
    </row>
    <row r="891">
      <c r="A891" s="57"/>
      <c r="D891" s="58"/>
      <c r="E891" s="59"/>
      <c r="F891" s="60"/>
    </row>
    <row r="892">
      <c r="A892" s="57"/>
      <c r="D892" s="58"/>
      <c r="E892" s="59"/>
      <c r="F892" s="60"/>
    </row>
    <row r="893">
      <c r="A893" s="57"/>
      <c r="D893" s="58"/>
      <c r="E893" s="59"/>
      <c r="F893" s="60"/>
    </row>
    <row r="894">
      <c r="A894" s="57"/>
      <c r="D894" s="58"/>
      <c r="E894" s="59"/>
      <c r="F894" s="60"/>
    </row>
    <row r="895">
      <c r="A895" s="57"/>
      <c r="D895" s="58"/>
      <c r="E895" s="59"/>
      <c r="F895" s="60"/>
    </row>
    <row r="896">
      <c r="A896" s="57"/>
      <c r="D896" s="58"/>
      <c r="E896" s="59"/>
      <c r="F896" s="60"/>
    </row>
    <row r="897">
      <c r="A897" s="57"/>
      <c r="D897" s="58"/>
      <c r="E897" s="59"/>
      <c r="F897" s="60"/>
    </row>
    <row r="898">
      <c r="A898" s="57"/>
      <c r="D898" s="58"/>
      <c r="E898" s="59"/>
      <c r="F898" s="60"/>
    </row>
    <row r="899">
      <c r="A899" s="57"/>
      <c r="D899" s="58"/>
      <c r="E899" s="59"/>
      <c r="F899" s="60"/>
    </row>
    <row r="900">
      <c r="A900" s="57"/>
      <c r="D900" s="58"/>
      <c r="E900" s="59"/>
      <c r="F900" s="60"/>
    </row>
    <row r="901">
      <c r="A901" s="57"/>
      <c r="D901" s="58"/>
      <c r="E901" s="59"/>
      <c r="F901" s="60"/>
    </row>
    <row r="902">
      <c r="A902" s="57"/>
      <c r="D902" s="58"/>
      <c r="E902" s="59"/>
      <c r="F902" s="60"/>
    </row>
    <row r="903">
      <c r="A903" s="57"/>
      <c r="D903" s="58"/>
      <c r="E903" s="59"/>
      <c r="F903" s="60"/>
    </row>
    <row r="904">
      <c r="A904" s="57"/>
      <c r="D904" s="58"/>
      <c r="E904" s="59"/>
      <c r="F904" s="60"/>
    </row>
    <row r="905">
      <c r="A905" s="57"/>
      <c r="D905" s="58"/>
      <c r="E905" s="59"/>
      <c r="F905" s="60"/>
    </row>
    <row r="906">
      <c r="A906" s="57"/>
      <c r="D906" s="58"/>
      <c r="E906" s="59"/>
      <c r="F906" s="60"/>
    </row>
    <row r="907">
      <c r="A907" s="57"/>
      <c r="D907" s="58"/>
      <c r="E907" s="59"/>
      <c r="F907" s="60"/>
    </row>
    <row r="908">
      <c r="A908" s="57"/>
      <c r="D908" s="58"/>
      <c r="E908" s="59"/>
      <c r="F908" s="60"/>
    </row>
    <row r="909">
      <c r="A909" s="57"/>
      <c r="D909" s="58"/>
      <c r="E909" s="59"/>
      <c r="F909" s="60"/>
    </row>
    <row r="910">
      <c r="A910" s="57"/>
      <c r="D910" s="58"/>
      <c r="E910" s="59"/>
      <c r="F910" s="60"/>
    </row>
    <row r="911">
      <c r="A911" s="57"/>
      <c r="D911" s="58"/>
      <c r="E911" s="59"/>
      <c r="F911" s="60"/>
    </row>
    <row r="912">
      <c r="A912" s="57"/>
      <c r="D912" s="58"/>
      <c r="E912" s="59"/>
      <c r="F912" s="60"/>
    </row>
    <row r="913">
      <c r="A913" s="57"/>
      <c r="D913" s="58"/>
      <c r="E913" s="59"/>
      <c r="F913" s="60"/>
    </row>
    <row r="914">
      <c r="A914" s="57"/>
      <c r="D914" s="58"/>
      <c r="E914" s="59"/>
      <c r="F914" s="60"/>
    </row>
    <row r="915">
      <c r="A915" s="57"/>
      <c r="D915" s="58"/>
      <c r="E915" s="59"/>
      <c r="F915" s="60"/>
    </row>
    <row r="916">
      <c r="A916" s="57"/>
      <c r="D916" s="58"/>
      <c r="E916" s="59"/>
      <c r="F916" s="60"/>
    </row>
    <row r="917">
      <c r="A917" s="57"/>
      <c r="D917" s="58"/>
      <c r="E917" s="59"/>
      <c r="F917" s="60"/>
    </row>
    <row r="918">
      <c r="A918" s="57"/>
      <c r="D918" s="58"/>
      <c r="E918" s="59"/>
      <c r="F918" s="60"/>
    </row>
    <row r="919">
      <c r="A919" s="57"/>
      <c r="D919" s="58"/>
      <c r="E919" s="59"/>
      <c r="F919" s="60"/>
    </row>
    <row r="920">
      <c r="A920" s="57"/>
      <c r="D920" s="58"/>
      <c r="E920" s="59"/>
      <c r="F920" s="60"/>
    </row>
    <row r="921">
      <c r="A921" s="57"/>
      <c r="D921" s="58"/>
      <c r="E921" s="59"/>
      <c r="F921" s="60"/>
    </row>
    <row r="922">
      <c r="A922" s="57"/>
      <c r="D922" s="58"/>
      <c r="E922" s="59"/>
      <c r="F922" s="60"/>
    </row>
    <row r="923">
      <c r="A923" s="57"/>
      <c r="D923" s="58"/>
      <c r="E923" s="59"/>
      <c r="F923" s="60"/>
    </row>
    <row r="924">
      <c r="A924" s="57"/>
      <c r="D924" s="58"/>
      <c r="E924" s="59"/>
      <c r="F924" s="60"/>
    </row>
    <row r="925">
      <c r="A925" s="57"/>
      <c r="D925" s="58"/>
      <c r="E925" s="59"/>
      <c r="F925" s="60"/>
    </row>
    <row r="926">
      <c r="A926" s="57"/>
      <c r="D926" s="58"/>
      <c r="E926" s="59"/>
      <c r="F926" s="60"/>
    </row>
    <row r="927">
      <c r="A927" s="57"/>
      <c r="D927" s="58"/>
      <c r="E927" s="59"/>
      <c r="F927" s="60"/>
    </row>
    <row r="928">
      <c r="A928" s="57"/>
      <c r="D928" s="58"/>
      <c r="E928" s="59"/>
      <c r="F928" s="60"/>
    </row>
    <row r="929">
      <c r="A929" s="57"/>
      <c r="D929" s="58"/>
      <c r="E929" s="59"/>
      <c r="F929" s="60"/>
    </row>
    <row r="930">
      <c r="A930" s="57"/>
      <c r="D930" s="58"/>
      <c r="E930" s="59"/>
      <c r="F930" s="60"/>
    </row>
    <row r="931">
      <c r="A931" s="57"/>
      <c r="D931" s="58"/>
      <c r="E931" s="59"/>
      <c r="F931" s="60"/>
    </row>
    <row r="932">
      <c r="A932" s="57"/>
      <c r="D932" s="58"/>
      <c r="E932" s="59"/>
      <c r="F932" s="60"/>
    </row>
    <row r="933">
      <c r="A933" s="57"/>
      <c r="D933" s="58"/>
      <c r="E933" s="59"/>
      <c r="F933" s="60"/>
    </row>
    <row r="934">
      <c r="A934" s="57"/>
      <c r="D934" s="58"/>
      <c r="E934" s="59"/>
      <c r="F934" s="60"/>
    </row>
    <row r="935">
      <c r="A935" s="57"/>
      <c r="D935" s="58"/>
      <c r="E935" s="59"/>
      <c r="F935" s="60"/>
    </row>
    <row r="936">
      <c r="A936" s="57"/>
      <c r="D936" s="58"/>
      <c r="E936" s="59"/>
      <c r="F936" s="60"/>
    </row>
    <row r="937">
      <c r="A937" s="57"/>
      <c r="D937" s="58"/>
      <c r="E937" s="59"/>
      <c r="F937" s="60"/>
    </row>
    <row r="938">
      <c r="A938" s="57"/>
      <c r="D938" s="58"/>
      <c r="E938" s="59"/>
      <c r="F938" s="60"/>
    </row>
    <row r="939">
      <c r="A939" s="57"/>
      <c r="D939" s="58"/>
      <c r="E939" s="59"/>
      <c r="F939" s="60"/>
    </row>
    <row r="940">
      <c r="A940" s="57"/>
      <c r="D940" s="58"/>
      <c r="E940" s="59"/>
      <c r="F940" s="60"/>
    </row>
    <row r="941">
      <c r="A941" s="57"/>
      <c r="D941" s="58"/>
      <c r="E941" s="59"/>
      <c r="F941" s="60"/>
    </row>
    <row r="942">
      <c r="A942" s="57"/>
      <c r="D942" s="58"/>
      <c r="E942" s="59"/>
      <c r="F942" s="60"/>
    </row>
    <row r="943">
      <c r="A943" s="57"/>
      <c r="D943" s="58"/>
      <c r="E943" s="59"/>
      <c r="F943" s="60"/>
    </row>
    <row r="944">
      <c r="A944" s="57"/>
      <c r="D944" s="58"/>
      <c r="E944" s="59"/>
      <c r="F944" s="60"/>
    </row>
    <row r="945">
      <c r="A945" s="57"/>
      <c r="D945" s="58"/>
      <c r="E945" s="59"/>
      <c r="F945" s="60"/>
    </row>
    <row r="946">
      <c r="A946" s="57"/>
      <c r="D946" s="58"/>
      <c r="E946" s="59"/>
      <c r="F946" s="60"/>
    </row>
    <row r="947">
      <c r="A947" s="57"/>
      <c r="D947" s="58"/>
      <c r="E947" s="59"/>
      <c r="F947" s="60"/>
    </row>
    <row r="948">
      <c r="A948" s="57"/>
      <c r="D948" s="58"/>
      <c r="E948" s="59"/>
      <c r="F948" s="60"/>
    </row>
    <row r="949">
      <c r="A949" s="57"/>
      <c r="D949" s="58"/>
      <c r="E949" s="59"/>
      <c r="F949" s="60"/>
    </row>
    <row r="950">
      <c r="A950" s="57"/>
      <c r="D950" s="58"/>
      <c r="E950" s="59"/>
      <c r="F950" s="60"/>
    </row>
    <row r="951">
      <c r="A951" s="57"/>
      <c r="D951" s="58"/>
      <c r="E951" s="59"/>
      <c r="F951" s="60"/>
    </row>
    <row r="952">
      <c r="A952" s="57"/>
      <c r="D952" s="58"/>
      <c r="E952" s="59"/>
      <c r="F952" s="60"/>
    </row>
    <row r="953">
      <c r="A953" s="57"/>
      <c r="D953" s="58"/>
      <c r="E953" s="59"/>
      <c r="F953" s="60"/>
    </row>
    <row r="954">
      <c r="A954" s="57"/>
      <c r="D954" s="58"/>
      <c r="E954" s="59"/>
      <c r="F954" s="60"/>
    </row>
    <row r="955">
      <c r="A955" s="57"/>
      <c r="D955" s="58"/>
      <c r="E955" s="59"/>
      <c r="F955" s="60"/>
    </row>
    <row r="956">
      <c r="A956" s="57"/>
      <c r="D956" s="58"/>
      <c r="E956" s="59"/>
      <c r="F956" s="60"/>
    </row>
    <row r="957">
      <c r="A957" s="57"/>
      <c r="D957" s="58"/>
      <c r="E957" s="59"/>
      <c r="F957" s="60"/>
    </row>
    <row r="958">
      <c r="A958" s="57"/>
      <c r="D958" s="58"/>
      <c r="E958" s="59"/>
      <c r="F958" s="60"/>
    </row>
    <row r="959">
      <c r="A959" s="57"/>
      <c r="D959" s="58"/>
      <c r="E959" s="59"/>
      <c r="F959" s="60"/>
    </row>
    <row r="960">
      <c r="A960" s="57"/>
      <c r="D960" s="58"/>
      <c r="E960" s="59"/>
      <c r="F960" s="60"/>
    </row>
    <row r="961">
      <c r="A961" s="57"/>
      <c r="D961" s="58"/>
      <c r="E961" s="59"/>
      <c r="F961" s="60"/>
    </row>
    <row r="962">
      <c r="A962" s="57"/>
      <c r="D962" s="58"/>
      <c r="E962" s="59"/>
      <c r="F962" s="60"/>
    </row>
    <row r="963">
      <c r="A963" s="57"/>
      <c r="D963" s="58"/>
      <c r="E963" s="59"/>
      <c r="F963" s="60"/>
    </row>
    <row r="964">
      <c r="A964" s="57"/>
      <c r="D964" s="58"/>
      <c r="E964" s="59"/>
      <c r="F964" s="60"/>
    </row>
    <row r="965">
      <c r="A965" s="57"/>
      <c r="D965" s="58"/>
      <c r="E965" s="59"/>
      <c r="F965" s="60"/>
    </row>
    <row r="966">
      <c r="A966" s="57"/>
      <c r="D966" s="58"/>
      <c r="E966" s="59"/>
      <c r="F966" s="60"/>
    </row>
    <row r="967">
      <c r="A967" s="57"/>
      <c r="D967" s="58"/>
      <c r="E967" s="59"/>
      <c r="F967" s="60"/>
    </row>
    <row r="968">
      <c r="A968" s="57"/>
      <c r="D968" s="58"/>
      <c r="E968" s="59"/>
      <c r="F968" s="60"/>
    </row>
    <row r="969">
      <c r="A969" s="57"/>
      <c r="D969" s="58"/>
      <c r="E969" s="59"/>
      <c r="F969" s="60"/>
    </row>
    <row r="970">
      <c r="A970" s="57"/>
      <c r="D970" s="58"/>
      <c r="E970" s="59"/>
      <c r="F970" s="60"/>
    </row>
    <row r="971">
      <c r="A971" s="57"/>
      <c r="D971" s="58"/>
      <c r="E971" s="59"/>
      <c r="F971" s="60"/>
    </row>
    <row r="972">
      <c r="A972" s="57"/>
      <c r="D972" s="58"/>
      <c r="E972" s="59"/>
      <c r="F972" s="60"/>
    </row>
    <row r="973">
      <c r="A973" s="57"/>
      <c r="D973" s="58"/>
      <c r="E973" s="59"/>
      <c r="F973" s="60"/>
    </row>
    <row r="974">
      <c r="A974" s="57"/>
      <c r="D974" s="58"/>
      <c r="E974" s="59"/>
      <c r="F974" s="60"/>
    </row>
    <row r="975">
      <c r="A975" s="57"/>
      <c r="D975" s="58"/>
      <c r="E975" s="59"/>
      <c r="F975" s="60"/>
    </row>
    <row r="976">
      <c r="A976" s="57"/>
      <c r="D976" s="58"/>
      <c r="E976" s="59"/>
      <c r="F976" s="60"/>
    </row>
    <row r="977">
      <c r="A977" s="57"/>
      <c r="D977" s="58"/>
      <c r="E977" s="59"/>
      <c r="F977" s="60"/>
    </row>
    <row r="978">
      <c r="A978" s="57"/>
      <c r="D978" s="58"/>
      <c r="E978" s="59"/>
      <c r="F978" s="60"/>
    </row>
    <row r="979">
      <c r="A979" s="57"/>
      <c r="D979" s="58"/>
      <c r="E979" s="59"/>
      <c r="F979" s="60"/>
    </row>
    <row r="980">
      <c r="A980" s="57"/>
      <c r="D980" s="58"/>
      <c r="E980" s="59"/>
      <c r="F980" s="60"/>
    </row>
    <row r="981">
      <c r="A981" s="57"/>
      <c r="D981" s="58"/>
      <c r="E981" s="59"/>
      <c r="F981" s="60"/>
    </row>
    <row r="982">
      <c r="A982" s="57"/>
      <c r="D982" s="58"/>
      <c r="E982" s="59"/>
      <c r="F982" s="60"/>
    </row>
    <row r="983">
      <c r="A983" s="57"/>
      <c r="D983" s="58"/>
      <c r="E983" s="59"/>
      <c r="F983" s="60"/>
    </row>
    <row r="984">
      <c r="A984" s="57"/>
      <c r="D984" s="58"/>
      <c r="E984" s="59"/>
      <c r="F984" s="60"/>
    </row>
    <row r="985">
      <c r="A985" s="57"/>
      <c r="D985" s="58"/>
      <c r="E985" s="59"/>
      <c r="F985" s="60"/>
    </row>
    <row r="986">
      <c r="A986" s="57"/>
      <c r="D986" s="58"/>
      <c r="E986" s="59"/>
      <c r="F986" s="60"/>
    </row>
    <row r="987">
      <c r="A987" s="57"/>
      <c r="D987" s="58"/>
      <c r="E987" s="59"/>
      <c r="F987" s="60"/>
    </row>
    <row r="988">
      <c r="A988" s="57"/>
      <c r="D988" s="58"/>
      <c r="E988" s="59"/>
      <c r="F988" s="60"/>
    </row>
    <row r="989">
      <c r="A989" s="57"/>
      <c r="D989" s="58"/>
      <c r="E989" s="59"/>
      <c r="F989" s="60"/>
    </row>
    <row r="990">
      <c r="A990" s="57"/>
      <c r="D990" s="58"/>
      <c r="E990" s="59"/>
      <c r="F990" s="60"/>
    </row>
    <row r="991">
      <c r="A991" s="57"/>
      <c r="D991" s="58"/>
      <c r="E991" s="59"/>
      <c r="F991" s="60"/>
    </row>
    <row r="992">
      <c r="A992" s="57"/>
      <c r="D992" s="58"/>
      <c r="E992" s="59"/>
      <c r="F992" s="60"/>
    </row>
    <row r="993">
      <c r="A993" s="57"/>
      <c r="D993" s="58"/>
      <c r="E993" s="59"/>
      <c r="F993" s="60"/>
    </row>
    <row r="994">
      <c r="A994" s="57"/>
      <c r="D994" s="58"/>
      <c r="E994" s="59"/>
      <c r="F994" s="60"/>
    </row>
    <row r="995">
      <c r="A995" s="57"/>
      <c r="D995" s="58"/>
      <c r="E995" s="59"/>
      <c r="F995" s="60"/>
    </row>
    <row r="996">
      <c r="A996" s="57"/>
      <c r="D996" s="58"/>
      <c r="E996" s="59"/>
      <c r="F996" s="60"/>
    </row>
    <row r="997">
      <c r="A997" s="57"/>
      <c r="D997" s="58"/>
      <c r="E997" s="59"/>
      <c r="F997" s="60"/>
    </row>
    <row r="998">
      <c r="A998" s="57"/>
      <c r="D998" s="58"/>
      <c r="E998" s="59"/>
      <c r="F998" s="60"/>
    </row>
    <row r="999">
      <c r="A999" s="57"/>
      <c r="D999" s="58"/>
      <c r="E999" s="59"/>
      <c r="F999" s="60"/>
    </row>
    <row r="1000">
      <c r="A1000" s="57"/>
      <c r="D1000" s="58"/>
      <c r="E1000" s="59"/>
      <c r="F1000" s="60"/>
    </row>
    <row r="1001">
      <c r="A1001" s="57"/>
      <c r="D1001" s="58"/>
      <c r="E1001" s="59"/>
      <c r="F1001" s="60"/>
    </row>
    <row r="1002">
      <c r="A1002" s="57"/>
      <c r="D1002" s="58"/>
      <c r="E1002" s="59"/>
      <c r="F1002" s="60"/>
    </row>
    <row r="1003">
      <c r="A1003" s="57"/>
      <c r="D1003" s="58"/>
      <c r="E1003" s="59"/>
      <c r="F1003" s="60"/>
    </row>
    <row r="1004">
      <c r="A1004" s="57"/>
      <c r="D1004" s="58"/>
      <c r="E1004" s="59"/>
      <c r="F1004" s="60"/>
    </row>
    <row r="1005">
      <c r="A1005" s="57"/>
      <c r="D1005" s="58"/>
      <c r="E1005" s="59"/>
      <c r="F1005" s="60"/>
    </row>
  </sheetData>
  <conditionalFormatting sqref="H2:Q33">
    <cfRule type="cellIs" dxfId="5" priority="1" operator="equal">
      <formula>0</formula>
    </cfRule>
  </conditionalFormatting>
  <conditionalFormatting sqref="H2:H33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3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3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3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3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3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3">
    <cfRule type="colorScale" priority="8">
      <colorScale>
        <cfvo type="formula" val="0"/>
        <cfvo type="percentile" val="50"/>
        <cfvo type="max"/>
        <color rgb="FFFF0000"/>
        <color rgb="FFFFFF00"/>
        <color rgb="FF34A853"/>
      </colorScale>
    </cfRule>
  </conditionalFormatting>
  <conditionalFormatting sqref="P2:Q33">
    <cfRule type="colorScale" priority="9">
      <colorScale>
        <cfvo type="formula" val="0"/>
        <cfvo type="percentile" val="50"/>
        <cfvo type="max"/>
        <color rgb="FFFF0000"/>
        <color rgb="FFFFFF00"/>
        <color rgb="FF34A853"/>
      </colorScale>
    </cfRule>
  </conditionalFormatting>
  <conditionalFormatting sqref="O2:O33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39:C46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9:F46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6">
      <formula1>OR(NOT(ISERROR(DATEVALUE(F36))), AND(ISNUMBER(F36), LEFT(CELL("format", F36))="D"))</formula1>
    </dataValidation>
    <dataValidation type="list" allowBlank="1" showDropDown="1" sqref="C2:C33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